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BOM" sheetId="1" state="visible" r:id="rId1"/>
    <sheet xmlns:r="http://schemas.openxmlformats.org/officeDocument/2006/relationships" name="Base BOM" sheetId="2" state="visible" r:id="rId2"/>
    <sheet xmlns:r="http://schemas.openxmlformats.org/officeDocument/2006/relationships" name="Logic BOM" sheetId="3" state="visible" r:id="rId3"/>
    <sheet xmlns:r="http://schemas.openxmlformats.org/officeDocument/2006/relationships" name="Off-Board Items" sheetId="4" state="visible" r:id="rId4"/>
    <sheet xmlns:r="http://schemas.openxmlformats.org/officeDocument/2006/relationships" name="Final Testing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6" customWidth="1" min="3" max="3"/>
    <col width="30" customWidth="1" min="4" max="4"/>
    <col width="22" customWidth="1" min="5" max="5"/>
    <col width="60" customWidth="1" min="6" max="6"/>
    <col width="40" customWidth="1" min="7" max="7"/>
    <col width="18" customWidth="1" min="8" max="8"/>
    <col width="16" customWidth="1" min="9" max="9"/>
    <col width="60" customWidth="1" min="10" max="10"/>
  </cols>
  <sheetData>
    <row r="1">
      <c r="A1" s="1" t="inlineStr">
        <is>
          <t>Item</t>
        </is>
      </c>
      <c r="B1" s="1" t="inlineStr">
        <is>
          <t>Board</t>
        </is>
      </c>
      <c r="C1" s="1" t="inlineStr">
        <is>
          <t>Qty</t>
        </is>
      </c>
      <c r="D1" s="1" t="inlineStr">
        <is>
          <t>Reference(s)</t>
        </is>
      </c>
      <c r="E1" s="1" t="inlineStr">
        <is>
          <t>Schematic value</t>
        </is>
      </c>
      <c r="F1" s="1" t="inlineStr">
        <is>
          <t>Description (from Final BOM)</t>
        </is>
      </c>
      <c r="G1" s="1" t="inlineStr">
        <is>
          <t>Footprint</t>
        </is>
      </c>
      <c r="H1" s="1" t="inlineStr">
        <is>
          <t>MFR Part #</t>
        </is>
      </c>
      <c r="I1" s="1" t="inlineStr">
        <is>
          <t>Mouser Part #</t>
        </is>
      </c>
      <c r="J1" s="1" t="inlineStr">
        <is>
          <t>Notes</t>
        </is>
      </c>
    </row>
    <row r="2">
      <c r="A2" s="2" t="n">
        <v>1</v>
      </c>
      <c r="B2" s="2" t="inlineStr">
        <is>
          <t>Base</t>
        </is>
      </c>
      <c r="C2" s="2" t="n">
        <v>2</v>
      </c>
      <c r="D2" s="2" t="inlineStr">
        <is>
          <t>B:C1, B:C2</t>
        </is>
      </c>
      <c r="E2" s="2" t="inlineStr">
        <is>
          <t>C_Polarized_US</t>
        </is>
      </c>
      <c r="F2" s="2" t="inlineStr">
        <is>
          <t>100uF 50V Electrolythic Capacitor</t>
        </is>
      </c>
      <c r="G2" s="2" t="inlineStr">
        <is>
          <t>CP_Radial_D6.3mm_P2.50mm</t>
        </is>
      </c>
      <c r="H2" s="2" t="inlineStr">
        <is>
          <t>ESL107M050AGMAA</t>
        </is>
      </c>
      <c r="I2" s="2" t="inlineStr">
        <is>
          <t>80-ESL107M050AGMAA</t>
        </is>
      </c>
      <c r="J2" s="2" t="inlineStr"/>
    </row>
    <row r="3">
      <c r="A3" s="2" t="n">
        <v>2</v>
      </c>
      <c r="B3" s="2" t="inlineStr">
        <is>
          <t>Base</t>
        </is>
      </c>
      <c r="C3" s="2" t="n">
        <v>6</v>
      </c>
      <c r="D3" s="2" t="inlineStr">
        <is>
          <t>B:C3, B:C5, B:C6, B:C7, B:C10, B:C11</t>
        </is>
      </c>
      <c r="E3" s="2" t="inlineStr">
        <is>
          <t>100n</t>
        </is>
      </c>
      <c r="F3" s="2" t="inlineStr">
        <is>
          <t>100nF Ceramic disk capacitor</t>
        </is>
      </c>
      <c r="G3" s="2" t="inlineStr">
        <is>
          <t>C_Disc_D4.7mm_W2.5mm_P5.00mm</t>
        </is>
      </c>
      <c r="H3" s="2" t="inlineStr">
        <is>
          <t>S104Z93Z5VL83L0R</t>
        </is>
      </c>
      <c r="I3" s="2" t="inlineStr">
        <is>
          <t>594-S104Z93Z5VL83L0R</t>
        </is>
      </c>
      <c r="J3" s="2" t="inlineStr"/>
    </row>
    <row r="4">
      <c r="A4" s="2" t="n">
        <v>3</v>
      </c>
      <c r="B4" s="2" t="inlineStr">
        <is>
          <t>Base</t>
        </is>
      </c>
      <c r="C4" s="2" t="n">
        <v>1</v>
      </c>
      <c r="D4" s="2" t="inlineStr">
        <is>
          <t>B:C4</t>
        </is>
      </c>
      <c r="E4" s="2" t="inlineStr">
        <is>
          <t>1n</t>
        </is>
      </c>
      <c r="F4" s="2" t="inlineStr">
        <is>
          <t>1nF Ceramic Disk Capacitor</t>
        </is>
      </c>
      <c r="G4" s="2" t="inlineStr">
        <is>
          <t>C_Disc_D4.7mm_W2.5mm_P5.00mm</t>
        </is>
      </c>
      <c r="H4" s="2" t="inlineStr">
        <is>
          <t>FA28C0G1H102JNU00</t>
        </is>
      </c>
      <c r="I4" s="2" t="inlineStr">
        <is>
          <t>810-FA28C0G1H10200</t>
        </is>
      </c>
      <c r="J4" s="2" t="inlineStr">
        <is>
          <t>Verified on board: marked 102 (1 nF), matches schematic. Designators were swapped in the original Final BOM and are now corrected</t>
        </is>
      </c>
    </row>
    <row r="5">
      <c r="A5" s="2" t="n">
        <v>4</v>
      </c>
      <c r="B5" s="2" t="inlineStr">
        <is>
          <t>Base</t>
        </is>
      </c>
      <c r="C5" s="2" t="n">
        <v>1</v>
      </c>
      <c r="D5" s="2" t="inlineStr">
        <is>
          <t>B:C12</t>
        </is>
      </c>
      <c r="E5" s="2" t="inlineStr">
        <is>
          <t>100u</t>
        </is>
      </c>
      <c r="F5" s="2" t="inlineStr">
        <is>
          <t>100uF 25V Electrolythic Capacitor</t>
        </is>
      </c>
      <c r="G5" s="2" t="inlineStr">
        <is>
          <t>CP_Radial_D4.0mm_P1.50mm</t>
        </is>
      </c>
      <c r="H5" s="2" t="inlineStr">
        <is>
          <t>Kit part (no part number)</t>
        </is>
      </c>
      <c r="I5" s="2" t="inlineStr">
        <is>
          <t>NA</t>
        </is>
      </c>
      <c r="J5" s="2" t="inlineStr">
        <is>
          <t>Regular 100uF 25V electrolytic from a capacitor kit (no part number), leads bent so the top PCB does not hit it. The original Final BOM MPN (reads as 2.2uF/100V) did not match and was replaced</t>
        </is>
      </c>
    </row>
    <row r="6">
      <c r="A6" s="2" t="n">
        <v>5</v>
      </c>
      <c r="B6" s="2" t="inlineStr">
        <is>
          <t>Base</t>
        </is>
      </c>
      <c r="C6" s="2" t="n">
        <v>1</v>
      </c>
      <c r="D6" s="2" t="inlineStr">
        <is>
          <t>B:C13</t>
        </is>
      </c>
      <c r="E6" s="2" t="inlineStr">
        <is>
          <t>10u</t>
        </is>
      </c>
      <c r="F6" s="2" t="inlineStr">
        <is>
          <t>10uF Ceramic Disk Capacitor</t>
        </is>
      </c>
      <c r="G6" s="2" t="inlineStr">
        <is>
          <t>C_Disc_D4.7mm_W2.5mm_P5.00mm</t>
        </is>
      </c>
      <c r="H6" s="2" t="inlineStr">
        <is>
          <t>FG11X7R1H106KRT00</t>
        </is>
      </c>
      <c r="I6" s="2" t="inlineStr">
        <is>
          <t>810-FG11X7R1H106KRT0</t>
        </is>
      </c>
      <c r="J6" s="2" t="inlineStr">
        <is>
          <t>Verified on board: marked 106 (10 uF), matches schematic. Designators were swapped in the original Final BOM and are now corrected</t>
        </is>
      </c>
    </row>
    <row r="7">
      <c r="A7" s="2" t="n">
        <v>6</v>
      </c>
      <c r="B7" s="2" t="inlineStr">
        <is>
          <t>Base</t>
        </is>
      </c>
      <c r="C7" s="2" t="n">
        <v>1</v>
      </c>
      <c r="D7" s="2" t="inlineStr">
        <is>
          <t>B:IC1</t>
        </is>
      </c>
      <c r="E7" s="2" t="inlineStr">
        <is>
          <t>IXDN614PI</t>
        </is>
      </c>
      <c r="F7" s="2" t="inlineStr">
        <is>
          <t>IXYS MOSFET Gate Driver</t>
        </is>
      </c>
      <c r="G7" s="2" t="inlineStr">
        <is>
          <t>DIP-8_W7.62mm</t>
        </is>
      </c>
      <c r="H7" s="2" t="inlineStr">
        <is>
          <t>IXDN614PI</t>
        </is>
      </c>
      <c r="I7" s="2" t="inlineStr">
        <is>
          <t>849-IXDN614PI</t>
        </is>
      </c>
      <c r="J7" s="2" t="inlineStr"/>
    </row>
    <row r="8">
      <c r="A8" s="2" t="n">
        <v>7</v>
      </c>
      <c r="B8" s="2" t="inlineStr">
        <is>
          <t>Base</t>
        </is>
      </c>
      <c r="C8" s="2" t="n">
        <v>1</v>
      </c>
      <c r="D8" s="2" t="inlineStr">
        <is>
          <t>B:J1</t>
        </is>
      </c>
      <c r="E8" s="2" t="inlineStr">
        <is>
          <t>J6</t>
        </is>
      </c>
      <c r="F8" s="2" t="inlineStr">
        <is>
          <t>Screw Terminal Blocks</t>
        </is>
      </c>
      <c r="G8" s="2" t="inlineStr">
        <is>
          <t>1700812</t>
        </is>
      </c>
      <c r="H8" s="2" t="inlineStr">
        <is>
          <t>1725041</t>
        </is>
      </c>
      <c r="I8" s="2" t="inlineStr">
        <is>
          <t>651-1725041</t>
        </is>
      </c>
      <c r="J8" s="2" t="inlineStr">
        <is>
          <t>Final BOM lists 6 terminal blocks (1725041) for J1 and J3 combined</t>
        </is>
      </c>
    </row>
    <row r="9">
      <c r="A9" s="2" t="n">
        <v>8</v>
      </c>
      <c r="B9" s="2" t="inlineStr">
        <is>
          <t>Base</t>
        </is>
      </c>
      <c r="C9" s="2" t="n">
        <v>2</v>
      </c>
      <c r="D9" s="2" t="inlineStr">
        <is>
          <t>B:J2, B:J8</t>
        </is>
      </c>
      <c r="E9" s="2" t="inlineStr">
        <is>
          <t>Conn_02x09_Counter_Clockwise</t>
        </is>
      </c>
      <c r="F9" s="2" t="inlineStr">
        <is>
          <t>02x09 Pin Socket</t>
        </is>
      </c>
      <c r="G9" s="2" t="inlineStr">
        <is>
          <t>PinSocket_2x09_P2.54mm_Vertical</t>
        </is>
      </c>
      <c r="H9" s="2" t="inlineStr">
        <is>
          <t>215307-9</t>
        </is>
      </c>
      <c r="I9" s="2" t="inlineStr">
        <is>
          <t>571-215307-9</t>
        </is>
      </c>
      <c r="J9" s="2" t="inlineStr"/>
    </row>
    <row r="10">
      <c r="A10" s="2" t="n">
        <v>9</v>
      </c>
      <c r="B10" s="2" t="inlineStr">
        <is>
          <t>Base</t>
        </is>
      </c>
      <c r="C10" s="2" t="n">
        <v>1</v>
      </c>
      <c r="D10" s="2" t="inlineStr">
        <is>
          <t>B:J3</t>
        </is>
      </c>
      <c r="E10" s="2" t="inlineStr">
        <is>
          <t>1700812</t>
        </is>
      </c>
      <c r="F10" s="2" t="inlineStr">
        <is>
          <t>Screw Terminal Blocks</t>
        </is>
      </c>
      <c r="G10" s="2" t="inlineStr">
        <is>
          <t>1700812</t>
        </is>
      </c>
      <c r="H10" s="2" t="inlineStr">
        <is>
          <t>1725041</t>
        </is>
      </c>
      <c r="I10" s="2" t="inlineStr">
        <is>
          <t>651-1725041</t>
        </is>
      </c>
      <c r="J10" s="2" t="inlineStr">
        <is>
          <t>Final BOM lists 6 terminal blocks (1725041) for J1 and J3 combined</t>
        </is>
      </c>
    </row>
    <row r="11">
      <c r="A11" s="2" t="n">
        <v>10</v>
      </c>
      <c r="B11" s="2" t="inlineStr">
        <is>
          <t>Base</t>
        </is>
      </c>
      <c r="C11" s="2" t="n">
        <v>2</v>
      </c>
      <c r="D11" s="2" t="inlineStr">
        <is>
          <t>B:J5, B:J6</t>
        </is>
      </c>
      <c r="E11" s="2" t="inlineStr">
        <is>
          <t>Conn_Coaxial</t>
        </is>
      </c>
      <c r="F11" s="2" t="inlineStr">
        <is>
          <t>BNC female PCB mounted Connector</t>
        </is>
      </c>
      <c r="G11" s="2" t="inlineStr">
        <is>
          <t>BNC_TEConnectivity_1478204_Vertical</t>
        </is>
      </c>
      <c r="H11" s="2" t="inlineStr">
        <is>
          <t>1-1478204-0</t>
        </is>
      </c>
      <c r="I11" s="2" t="inlineStr">
        <is>
          <t>571-1-1478204-0</t>
        </is>
      </c>
      <c r="J11" s="2" t="inlineStr"/>
    </row>
    <row r="12">
      <c r="A12" s="2" t="n">
        <v>11</v>
      </c>
      <c r="B12" s="2" t="inlineStr">
        <is>
          <t>Base</t>
        </is>
      </c>
      <c r="C12" s="2" t="n">
        <v>2</v>
      </c>
      <c r="D12" s="2" t="inlineStr">
        <is>
          <t>B:J7, B:J10</t>
        </is>
      </c>
      <c r="E12" s="2" t="inlineStr">
        <is>
          <t>Conn_01x03_Pin</t>
        </is>
      </c>
      <c r="F12" s="2" t="inlineStr">
        <is>
          <t>Fiber RX/TX Eval boards.</t>
        </is>
      </c>
      <c r="G12" s="2" t="inlineStr">
        <is>
          <t>FanPinHeader_1x03_P2.54mm_Vertical</t>
        </is>
      </c>
      <c r="H12" s="2" t="inlineStr">
        <is>
          <t>AFBR-0548Z</t>
        </is>
      </c>
      <c r="I12" s="2" t="inlineStr">
        <is>
          <t>630-AFBR-0548Z</t>
        </is>
      </c>
      <c r="J12" s="2" t="inlineStr">
        <is>
          <t>Final BOM: one AFBR-0548Z eval board (qty 1) for J7 and J10; modifications to be documented</t>
        </is>
      </c>
    </row>
    <row r="13">
      <c r="A13" s="2" t="n">
        <v>12</v>
      </c>
      <c r="B13" s="2" t="inlineStr">
        <is>
          <t>Base</t>
        </is>
      </c>
      <c r="C13" s="2" t="n">
        <v>2</v>
      </c>
      <c r="D13" s="2" t="inlineStr">
        <is>
          <t>B:JP1, B:JP2</t>
        </is>
      </c>
      <c r="E13" s="2" t="inlineStr">
        <is>
          <t>Jumper_3_Open</t>
        </is>
      </c>
      <c r="F13" s="2" t="inlineStr">
        <is>
          <t>Jumper Pins (2 pin ones must be modded) - 6 used + 1 spare</t>
        </is>
      </c>
      <c r="G13" s="2" t="inlineStr">
        <is>
          <t>PinHeader_1x03_P2.54mm_Vertical</t>
        </is>
      </c>
      <c r="H13" s="2" t="inlineStr">
        <is>
          <t>90120-0763</t>
        </is>
      </c>
      <c r="I13" s="2" t="inlineStr">
        <is>
          <t>538-90120-0763</t>
        </is>
      </c>
      <c r="J13" s="2" t="inlineStr">
        <is>
          <t>Final BOM item 10 qty 7 = 6 used (JP1-JP6) + 1 spare; 2-pin ones must be modified</t>
        </is>
      </c>
    </row>
    <row r="14">
      <c r="A14" s="2" t="n">
        <v>13</v>
      </c>
      <c r="B14" s="2" t="inlineStr">
        <is>
          <t>Base</t>
        </is>
      </c>
      <c r="C14" s="2" t="n">
        <v>4</v>
      </c>
      <c r="D14" s="2" t="inlineStr">
        <is>
          <t>B:JP3, B:JP4, B:JP5, B:JP6</t>
        </is>
      </c>
      <c r="E14" s="2" t="inlineStr">
        <is>
          <t>Jumper_2_Small_Open</t>
        </is>
      </c>
      <c r="F14" s="2" t="inlineStr">
        <is>
          <t>Jumper Pins (2 pin ones must be modded) - 6 used + 1 spare</t>
        </is>
      </c>
      <c r="G14" s="2" t="inlineStr">
        <is>
          <t>TestPoint_2Pads_Pitch2.54mm_Drill0.8mm</t>
        </is>
      </c>
      <c r="H14" s="2" t="inlineStr">
        <is>
          <t>90120-0763</t>
        </is>
      </c>
      <c r="I14" s="2" t="inlineStr">
        <is>
          <t>538-90120-0763</t>
        </is>
      </c>
      <c r="J14" s="2" t="inlineStr">
        <is>
          <t>2-pin headers must be modified (per Final BOM)</t>
        </is>
      </c>
    </row>
    <row r="15">
      <c r="A15" s="2" t="n">
        <v>14</v>
      </c>
      <c r="B15" s="2" t="inlineStr">
        <is>
          <t>Base</t>
        </is>
      </c>
      <c r="C15" s="2" t="n">
        <v>1</v>
      </c>
      <c r="D15" s="2" t="inlineStr">
        <is>
          <t>B:R13</t>
        </is>
      </c>
      <c r="E15" s="2" t="inlineStr">
        <is>
          <t>1k5</t>
        </is>
      </c>
      <c r="F15" s="2" t="inlineStr">
        <is>
          <t>1K5 ohm 1/4W</t>
        </is>
      </c>
      <c r="G15" s="2" t="inlineStr">
        <is>
          <t>R_Axial_DIN0207_L6.3mm_D2.5mm_P10.16mm_Horizontal</t>
        </is>
      </c>
      <c r="H15" s="2" t="inlineStr">
        <is>
          <t>MFR-25FBF52-1K5</t>
        </is>
      </c>
      <c r="I15" s="2" t="inlineStr">
        <is>
          <t>603-MFR-25FBF52-1K5</t>
        </is>
      </c>
      <c r="J15" s="2" t="inlineStr"/>
    </row>
    <row r="16">
      <c r="A16" s="2" t="n">
        <v>15</v>
      </c>
      <c r="B16" s="2" t="inlineStr">
        <is>
          <t>Base</t>
        </is>
      </c>
      <c r="C16" s="2" t="n">
        <v>1</v>
      </c>
      <c r="D16" s="2" t="inlineStr">
        <is>
          <t>B:R14</t>
        </is>
      </c>
      <c r="E16" s="2" t="inlineStr">
        <is>
          <t>22k</t>
        </is>
      </c>
      <c r="F16" s="2" t="inlineStr">
        <is>
          <t>22Kohm 1/4W</t>
        </is>
      </c>
      <c r="G16" s="2" t="inlineStr">
        <is>
          <t>R_Axial_DIN0207_L6.3mm_D2.5mm_P10.16mm_Horizontal</t>
        </is>
      </c>
      <c r="H16" s="2" t="inlineStr">
        <is>
          <t>MFR-25FTF52-22K</t>
        </is>
      </c>
      <c r="I16" s="2" t="inlineStr">
        <is>
          <t>603-MFR-25FTF52-22K</t>
        </is>
      </c>
      <c r="J16" s="2" t="inlineStr"/>
    </row>
    <row r="17">
      <c r="A17" s="2" t="n">
        <v>16</v>
      </c>
      <c r="B17" s="2" t="inlineStr">
        <is>
          <t>Base</t>
        </is>
      </c>
      <c r="C17" s="2" t="n">
        <v>1</v>
      </c>
      <c r="D17" s="2" t="inlineStr">
        <is>
          <t>B:R16</t>
        </is>
      </c>
      <c r="E17" s="2" t="inlineStr">
        <is>
          <t>100</t>
        </is>
      </c>
      <c r="F17" s="2" t="inlineStr">
        <is>
          <t>100 ohm 1/4W</t>
        </is>
      </c>
      <c r="G17" s="2" t="inlineStr">
        <is>
          <t>R_Axial_DIN0207_L6.3mm_D2.5mm_P10.16mm_Horizontal</t>
        </is>
      </c>
      <c r="H17" s="2" t="inlineStr">
        <is>
          <t>MFR-25FBF52-100R</t>
        </is>
      </c>
      <c r="I17" s="2" t="inlineStr">
        <is>
          <t>603-MFR-25FBF52-100R</t>
        </is>
      </c>
      <c r="J17" s="2" t="inlineStr"/>
    </row>
    <row r="18">
      <c r="A18" s="2" t="n">
        <v>17</v>
      </c>
      <c r="B18" s="2" t="inlineStr">
        <is>
          <t>Base</t>
        </is>
      </c>
      <c r="C18" s="2" t="n">
        <v>2</v>
      </c>
      <c r="D18" s="2" t="inlineStr">
        <is>
          <t>B:R30, B:R32</t>
        </is>
      </c>
      <c r="E18" s="2" t="inlineStr">
        <is>
          <t>50_1W</t>
        </is>
      </c>
      <c r="F18" s="2" t="inlineStr">
        <is>
          <t>50-Ohm 1W Resistor</t>
        </is>
      </c>
      <c r="G18" s="2" t="inlineStr">
        <is>
          <t>R_Axial_DIN0411_L9.9mm_D3.6mm_P15.24mm_Horizontal</t>
        </is>
      </c>
      <c r="H18" s="2" t="inlineStr">
        <is>
          <t>PAC100005009FA1000</t>
        </is>
      </c>
      <c r="I18" s="2" t="inlineStr">
        <is>
          <t>71-PAC100005009FA100</t>
        </is>
      </c>
      <c r="J18" s="2" t="inlineStr"/>
    </row>
    <row r="19">
      <c r="A19" s="2" t="n">
        <v>18</v>
      </c>
      <c r="B19" s="2" t="inlineStr">
        <is>
          <t>Base</t>
        </is>
      </c>
      <c r="C19" s="2" t="n">
        <v>1</v>
      </c>
      <c r="D19" s="2" t="inlineStr">
        <is>
          <t>B:R31</t>
        </is>
      </c>
      <c r="E19" s="2" t="inlineStr">
        <is>
          <t>100k</t>
        </is>
      </c>
      <c r="F19" s="2" t="inlineStr">
        <is>
          <t>100K ohm 1/4W</t>
        </is>
      </c>
      <c r="G19" s="2" t="inlineStr">
        <is>
          <t>R_Axial_DIN0207_L6.3mm_D2.5mm_P10.16mm_Horizontal</t>
        </is>
      </c>
      <c r="H19" s="2" t="inlineStr">
        <is>
          <t>MFR-25FTE52-100K</t>
        </is>
      </c>
      <c r="I19" s="2" t="inlineStr">
        <is>
          <t>603-MFR-25FTE52-100K</t>
        </is>
      </c>
      <c r="J19" s="2" t="inlineStr"/>
    </row>
    <row r="20">
      <c r="A20" s="2" t="n">
        <v>19</v>
      </c>
      <c r="B20" s="2" t="inlineStr">
        <is>
          <t>Base</t>
        </is>
      </c>
      <c r="C20" s="2" t="n">
        <v>1</v>
      </c>
      <c r="D20" s="2" t="inlineStr">
        <is>
          <t>B:RN1</t>
        </is>
      </c>
      <c r="E20" s="2" t="inlineStr">
        <is>
          <t>4k7</t>
        </is>
      </c>
      <c r="F20" s="2" t="inlineStr">
        <is>
          <t>Resistor Network Isolated(4k7x05)</t>
        </is>
      </c>
      <c r="G20" s="2" t="inlineStr">
        <is>
          <t>R_Array_SIP10</t>
        </is>
      </c>
      <c r="H20" s="2" t="inlineStr">
        <is>
          <t>770103472P</t>
        </is>
      </c>
      <c r="I20" s="2" t="inlineStr">
        <is>
          <t>774-770103472P</t>
        </is>
      </c>
      <c r="J20" s="2" t="inlineStr"/>
    </row>
    <row r="21">
      <c r="A21" s="2" t="n">
        <v>20</v>
      </c>
      <c r="B21" s="2" t="inlineStr">
        <is>
          <t>Base</t>
        </is>
      </c>
      <c r="C21" s="2" t="n">
        <v>2</v>
      </c>
      <c r="D21" s="2" t="inlineStr">
        <is>
          <t>B:RN2, B:RN5</t>
        </is>
      </c>
      <c r="E21" s="2" t="inlineStr">
        <is>
          <t>1k</t>
        </is>
      </c>
      <c r="F21" s="2" t="inlineStr">
        <is>
          <t>Resistor Network Isolated(1k06)</t>
        </is>
      </c>
      <c r="G21" s="2" t="inlineStr">
        <is>
          <t>R_Array_SIP12</t>
        </is>
      </c>
      <c r="H21" s="2" t="inlineStr">
        <is>
          <t>4612X-102-102LF</t>
        </is>
      </c>
      <c r="I21" s="2" t="inlineStr">
        <is>
          <t>652-4612X-2LF-1K</t>
        </is>
      </c>
      <c r="J21" s="2" t="inlineStr"/>
    </row>
    <row r="22">
      <c r="A22" s="2" t="n">
        <v>21</v>
      </c>
      <c r="B22" s="2" t="inlineStr">
        <is>
          <t>Base</t>
        </is>
      </c>
      <c r="C22" s="2" t="n">
        <v>1</v>
      </c>
      <c r="D22" s="2" t="inlineStr">
        <is>
          <t>B:RN3</t>
        </is>
      </c>
      <c r="E22" s="2" t="inlineStr">
        <is>
          <t>470</t>
        </is>
      </c>
      <c r="F22" s="2" t="inlineStr">
        <is>
          <t>Resistor Network Isolated (470x05)</t>
        </is>
      </c>
      <c r="G22" s="2" t="inlineStr">
        <is>
          <t>R_Array_SIP10</t>
        </is>
      </c>
      <c r="H22" s="2" t="inlineStr">
        <is>
          <t>4610X-102-471LF</t>
        </is>
      </c>
      <c r="I22" s="2" t="inlineStr">
        <is>
          <t>652-4610X-2LF-470</t>
        </is>
      </c>
      <c r="J22" s="2" t="inlineStr"/>
    </row>
    <row r="23">
      <c r="A23" s="2" t="n">
        <v>22</v>
      </c>
      <c r="B23" s="2" t="inlineStr">
        <is>
          <t>Base</t>
        </is>
      </c>
      <c r="C23" s="2" t="n">
        <v>1</v>
      </c>
      <c r="D23" s="2" t="inlineStr">
        <is>
          <t>B:RN4</t>
        </is>
      </c>
      <c r="E23" s="2" t="inlineStr">
        <is>
          <t>470</t>
        </is>
      </c>
      <c r="F23" s="2" t="inlineStr">
        <is>
          <t>Resistor Network Isolated (470x06)</t>
        </is>
      </c>
      <c r="G23" s="2" t="inlineStr">
        <is>
          <t>R_Array_SIP12</t>
        </is>
      </c>
      <c r="H23" s="2" t="inlineStr">
        <is>
          <t>4612X-102-471LF</t>
        </is>
      </c>
      <c r="I23" s="2" t="inlineStr">
        <is>
          <t>652-4612X-2LF-470</t>
        </is>
      </c>
      <c r="J23" s="2" t="inlineStr"/>
    </row>
    <row r="24">
      <c r="A24" s="2" t="n">
        <v>23</v>
      </c>
      <c r="B24" s="2" t="inlineStr">
        <is>
          <t>Base</t>
        </is>
      </c>
      <c r="C24" s="2" t="n">
        <v>3</v>
      </c>
      <c r="D24" s="2" t="inlineStr">
        <is>
          <t>B:RN6, B:RN7, B:RN8</t>
        </is>
      </c>
      <c r="E24" s="2" t="inlineStr">
        <is>
          <t>10k</t>
        </is>
      </c>
      <c r="F24" s="2" t="inlineStr">
        <is>
          <t>Resistor Network Bussed(10Kx04)</t>
        </is>
      </c>
      <c r="G24" s="2" t="inlineStr">
        <is>
          <t>R_Array_SIP5</t>
        </is>
      </c>
      <c r="H24" s="2" t="inlineStr">
        <is>
          <t>4605X-101-103FLF</t>
        </is>
      </c>
      <c r="I24" s="2" t="inlineStr">
        <is>
          <t>652-4605X-101-103FLF</t>
        </is>
      </c>
      <c r="J24" s="2" t="inlineStr"/>
    </row>
    <row r="25">
      <c r="A25" s="2" t="n">
        <v>24</v>
      </c>
      <c r="B25" s="2" t="inlineStr">
        <is>
          <t>Base</t>
        </is>
      </c>
      <c r="C25" s="2" t="n">
        <v>1</v>
      </c>
      <c r="D25" s="2" t="inlineStr">
        <is>
          <t>B:SW1</t>
        </is>
      </c>
      <c r="E25" s="2" t="inlineStr">
        <is>
          <t>SW_Push</t>
        </is>
      </c>
      <c r="F25" s="2" t="inlineStr">
        <is>
          <t>Tactile switch</t>
        </is>
      </c>
      <c r="G25" s="2" t="inlineStr">
        <is>
          <t>SW_PUSH_6mm_H5mm</t>
        </is>
      </c>
      <c r="H25" s="2" t="inlineStr">
        <is>
          <t>TS02-66-60-BK-260-LCR-D</t>
        </is>
      </c>
      <c r="I25" s="2" t="inlineStr">
        <is>
          <t>179-TS026660BK260LCR</t>
        </is>
      </c>
      <c r="J25" s="2" t="inlineStr"/>
    </row>
    <row r="26">
      <c r="A26" s="2" t="n">
        <v>25</v>
      </c>
      <c r="B26" s="2" t="inlineStr">
        <is>
          <t>Base</t>
        </is>
      </c>
      <c r="C26" s="2" t="n">
        <v>2</v>
      </c>
      <c r="D26" s="2" t="inlineStr">
        <is>
          <t>B:SW2, B:SW3</t>
        </is>
      </c>
      <c r="E26" s="2" t="inlineStr">
        <is>
          <t>SW_Wuerth_450301014042</t>
        </is>
      </c>
      <c r="F26" s="2" t="inlineStr">
        <is>
          <t>Wuerth Switch</t>
        </is>
      </c>
      <c r="G26" s="2" t="inlineStr">
        <is>
          <t>SW_Slide-03_Wuerth-WS-SLTV_10x2.5x6.4_P2.54mm</t>
        </is>
      </c>
      <c r="H26" s="2" t="inlineStr">
        <is>
          <t>450301014042</t>
        </is>
      </c>
      <c r="I26" s="2" t="inlineStr">
        <is>
          <t>710-450301014042</t>
        </is>
      </c>
      <c r="J26" s="2" t="inlineStr"/>
    </row>
    <row r="27">
      <c r="A27" s="2" t="n">
        <v>26</v>
      </c>
      <c r="B27" s="2" t="inlineStr">
        <is>
          <t>Both</t>
        </is>
      </c>
      <c r="C27" s="2" t="n">
        <v>2</v>
      </c>
      <c r="D27" s="2" t="inlineStr">
        <is>
          <t>B:U1, L:U1</t>
        </is>
      </c>
      <c r="E27" s="2" t="inlineStr">
        <is>
          <t>WPME-FDSM_SIP-3</t>
        </is>
      </c>
      <c r="F27" s="2" t="inlineStr">
        <is>
          <t>Wuerth Electronik Voltage Regulator</t>
        </is>
      </c>
      <c r="G27" s="2" t="inlineStr">
        <is>
          <t>CONV_173010578</t>
        </is>
      </c>
      <c r="H27" s="2" t="inlineStr">
        <is>
          <t>173010578</t>
        </is>
      </c>
      <c r="I27" s="2" t="inlineStr">
        <is>
          <t>710-173010578</t>
        </is>
      </c>
      <c r="J27" s="2" t="inlineStr">
        <is>
          <t>Same Würth DC-DC regulator as logic U1; Same Würth DC-DC regulator as base U1. Mouser # corrected from 710-173010579 to 710-173010578</t>
        </is>
      </c>
    </row>
    <row r="28">
      <c r="A28" s="2" t="n">
        <v>27</v>
      </c>
      <c r="B28" s="2" t="inlineStr">
        <is>
          <t>Base</t>
        </is>
      </c>
      <c r="C28" s="2" t="n">
        <v>4</v>
      </c>
      <c r="D28" s="2" t="inlineStr">
        <is>
          <t>B:U2, B:U3, B:U7, B:U8</t>
        </is>
      </c>
      <c r="E28" s="2" t="inlineStr">
        <is>
          <t>PS2501L-4-A</t>
        </is>
      </c>
      <c r="F28" s="2" t="inlineStr">
        <is>
          <t>4-Channel OptoCoupler</t>
        </is>
      </c>
      <c r="G28" s="2" t="inlineStr">
        <is>
          <t>DIP-16_W7.62mm</t>
        </is>
      </c>
      <c r="H28" s="2" t="inlineStr">
        <is>
          <t>PS2501-4-A</t>
        </is>
      </c>
      <c r="I28" s="2" t="inlineStr">
        <is>
          <t>551-PS2501-4-A</t>
        </is>
      </c>
      <c r="J28" s="2" t="inlineStr">
        <is>
          <t>Schematic symbol PS2501L-4-A; ordered PS2501-4-A (DIP-16)</t>
        </is>
      </c>
    </row>
    <row r="29">
      <c r="A29" s="2" t="n">
        <v>28</v>
      </c>
      <c r="B29" s="2" t="inlineStr">
        <is>
          <t>Base</t>
        </is>
      </c>
      <c r="C29" s="2" t="n">
        <v>1</v>
      </c>
      <c r="D29" s="2" t="inlineStr">
        <is>
          <t>B:U4</t>
        </is>
      </c>
      <c r="E29" s="2" t="inlineStr">
        <is>
          <t>74LS221</t>
        </is>
      </c>
      <c r="F29" s="2" t="inlineStr">
        <is>
          <t>Texas Instruments Monostable Multivibrator</t>
        </is>
      </c>
      <c r="G29" s="2" t="inlineStr">
        <is>
          <t>DIP-16_W7.62mm</t>
        </is>
      </c>
      <c r="H29" s="2" t="inlineStr">
        <is>
          <t>SN74LS221NE4</t>
        </is>
      </c>
      <c r="I29" s="2" t="inlineStr">
        <is>
          <t>595-SN74LS221NE4</t>
        </is>
      </c>
      <c r="J29" s="2" t="inlineStr"/>
    </row>
    <row r="30">
      <c r="A30" s="2" t="n">
        <v>29</v>
      </c>
      <c r="B30" s="2" t="inlineStr">
        <is>
          <t>Both</t>
        </is>
      </c>
      <c r="C30" s="2" t="n">
        <v>2</v>
      </c>
      <c r="D30" s="2" t="inlineStr">
        <is>
          <t>B:U5, L:U6</t>
        </is>
      </c>
      <c r="E30" s="2" t="inlineStr">
        <is>
          <t>74AHCT04</t>
        </is>
      </c>
      <c r="F30" s="2" t="inlineStr">
        <is>
          <t>Texas Instruments Hex Inverter</t>
        </is>
      </c>
      <c r="G30" s="2" t="inlineStr">
        <is>
          <t>DIP-14_W7.62mm</t>
        </is>
      </c>
      <c r="H30" s="2" t="inlineStr">
        <is>
          <t>SN74AHCT04N</t>
        </is>
      </c>
      <c r="I30" s="2" t="inlineStr">
        <is>
          <t>595-SN74AHCT04N</t>
        </is>
      </c>
      <c r="J30" s="2" t="inlineStr">
        <is>
          <t>Mouser # corrected to 595-SN74AHCT04N (595- prefix was missing in the original Final BOM)</t>
        </is>
      </c>
    </row>
    <row r="31">
      <c r="A31" s="2" t="n">
        <v>30</v>
      </c>
      <c r="B31" s="2" t="inlineStr">
        <is>
          <t>Base</t>
        </is>
      </c>
      <c r="C31" s="2" t="n">
        <v>1</v>
      </c>
      <c r="D31" s="2" t="inlineStr">
        <is>
          <t>B:U6</t>
        </is>
      </c>
      <c r="E31" s="2" t="inlineStr">
        <is>
          <t>74LS08</t>
        </is>
      </c>
      <c r="F31" s="2" t="inlineStr">
        <is>
          <t>Texas Instruments 4-Gate AND</t>
        </is>
      </c>
      <c r="G31" s="2" t="inlineStr">
        <is>
          <t>DIP-14_W7.62mm</t>
        </is>
      </c>
      <c r="H31" s="2" t="inlineStr">
        <is>
          <t>SN74LS08N</t>
        </is>
      </c>
      <c r="I31" s="2" t="inlineStr">
        <is>
          <t>595-SN74LS08N</t>
        </is>
      </c>
      <c r="J31" s="2" t="inlineStr"/>
    </row>
    <row r="32">
      <c r="A32" s="2" t="n">
        <v>31</v>
      </c>
      <c r="B32" s="2" t="inlineStr">
        <is>
          <t>Base</t>
        </is>
      </c>
      <c r="C32" s="2" t="n">
        <v>1</v>
      </c>
      <c r="D32" s="2" t="inlineStr">
        <is>
          <t>B:U9</t>
        </is>
      </c>
      <c r="E32" s="2" t="inlineStr">
        <is>
          <t>74AHCT123</t>
        </is>
      </c>
      <c r="F32" s="2" t="inlineStr">
        <is>
          <t>Texas Instruments Monostable Multivibrator</t>
        </is>
      </c>
      <c r="G32" s="2" t="inlineStr">
        <is>
          <t>DIP-16_W7.62mm</t>
        </is>
      </c>
      <c r="H32" s="2" t="inlineStr">
        <is>
          <t>SN74AHCT123AN</t>
        </is>
      </c>
      <c r="I32" s="2" t="inlineStr">
        <is>
          <t>595-SN74AHCT123AN</t>
        </is>
      </c>
      <c r="J32" s="2" t="inlineStr"/>
    </row>
    <row r="33">
      <c r="A33" s="2" t="n">
        <v>32</v>
      </c>
      <c r="B33" s="2" t="inlineStr">
        <is>
          <t>Logic</t>
        </is>
      </c>
      <c r="C33" s="2" t="n">
        <v>2</v>
      </c>
      <c r="D33" s="2" t="inlineStr">
        <is>
          <t>L:C1, L:C2</t>
        </is>
      </c>
      <c r="E33" s="2" t="inlineStr">
        <is>
          <t>C_Polarized_US</t>
        </is>
      </c>
      <c r="F33" s="2" t="inlineStr">
        <is>
          <t>100uF 50V Electrolythic Capacitor</t>
        </is>
      </c>
      <c r="G33" s="2" t="inlineStr">
        <is>
          <t>CP_Radial_D8.0mm_P3.80mm</t>
        </is>
      </c>
      <c r="H33" s="2" t="inlineStr">
        <is>
          <t>ESL107M050AGMAA</t>
        </is>
      </c>
      <c r="I33" s="2" t="inlineStr">
        <is>
          <t>80-ESL107M050AGMAA</t>
        </is>
      </c>
      <c r="J33" s="2" t="inlineStr"/>
    </row>
    <row r="34">
      <c r="A34" s="2" t="n">
        <v>33</v>
      </c>
      <c r="B34" s="2" t="inlineStr">
        <is>
          <t>Logic</t>
        </is>
      </c>
      <c r="C34" s="2" t="n">
        <v>7</v>
      </c>
      <c r="D34" s="2" t="inlineStr">
        <is>
          <t>L:C3, L:C4, L:C5, L:C6, L:C7, L:C8, L:C9</t>
        </is>
      </c>
      <c r="E34" s="2" t="inlineStr">
        <is>
          <t>100n</t>
        </is>
      </c>
      <c r="F34" s="2" t="inlineStr">
        <is>
          <t>100 nF Ceramic disk capacitor</t>
        </is>
      </c>
      <c r="G34" s="2" t="inlineStr">
        <is>
          <t>C_Disc_D5.0mm_W2.5mm_P2.50mm</t>
        </is>
      </c>
      <c r="H34" s="2" t="inlineStr">
        <is>
          <t>S104Z93Z5VL83L0R</t>
        </is>
      </c>
      <c r="I34" s="2" t="inlineStr">
        <is>
          <t>594-S104Z93Z5VL83L0R</t>
        </is>
      </c>
      <c r="J34" s="2" t="inlineStr"/>
    </row>
    <row r="35">
      <c r="A35" s="2" t="n">
        <v>34</v>
      </c>
      <c r="B35" s="2" t="inlineStr">
        <is>
          <t>Logic</t>
        </is>
      </c>
      <c r="C35" s="2" t="n">
        <v>2</v>
      </c>
      <c r="D35" s="2" t="inlineStr">
        <is>
          <t>L:J1, L:J2</t>
        </is>
      </c>
      <c r="E35" s="2" t="inlineStr">
        <is>
          <t>Conn_02x09_Counter_Clockwise</t>
        </is>
      </c>
      <c r="F35" s="2" t="inlineStr">
        <is>
          <t>02x09 Pin Header</t>
        </is>
      </c>
      <c r="G35" s="2" t="inlineStr">
        <is>
          <t>PinHeader_2x09_P2.54mm_Vertical</t>
        </is>
      </c>
      <c r="H35" s="2" t="inlineStr">
        <is>
          <t>826925-9</t>
        </is>
      </c>
      <c r="I35" s="2" t="inlineStr">
        <is>
          <t>571-826925-9</t>
        </is>
      </c>
      <c r="J35" s="2" t="inlineStr"/>
    </row>
    <row r="36">
      <c r="A36" s="2" t="n">
        <v>35</v>
      </c>
      <c r="B36" s="2" t="inlineStr">
        <is>
          <t>Logic</t>
        </is>
      </c>
      <c r="C36" s="2" t="n">
        <v>1</v>
      </c>
      <c r="D36" s="2" t="inlineStr">
        <is>
          <t>L:R1</t>
        </is>
      </c>
      <c r="E36" s="2" t="inlineStr">
        <is>
          <t>10k</t>
        </is>
      </c>
      <c r="F36" s="2" t="inlineStr">
        <is>
          <t>10K 1% 1/4W Resistor</t>
        </is>
      </c>
      <c r="G36" s="2" t="inlineStr">
        <is>
          <t>R_Axial_DIN0207_L6.3mm_D2.5mm_P10.16mm_Horizontal</t>
        </is>
      </c>
      <c r="H36" s="2" t="inlineStr">
        <is>
          <t>Kit part (no part number)</t>
        </is>
      </c>
      <c r="I36" s="2" t="inlineStr">
        <is>
          <t>NA</t>
        </is>
      </c>
      <c r="J36" s="2" t="inlineStr">
        <is>
          <t>Verified on board: bands brown-black-black-red-brown = 10k 1%, matches schematic. From a resistor kit (no part number). The original Final BOM MPN (reads as 6.8k) did not match and was replaced</t>
        </is>
      </c>
    </row>
    <row r="37">
      <c r="A37" s="2" t="n">
        <v>36</v>
      </c>
      <c r="B37" s="2" t="inlineStr">
        <is>
          <t>Logic</t>
        </is>
      </c>
      <c r="C37" s="2" t="n">
        <v>4</v>
      </c>
      <c r="D37" s="2" t="inlineStr">
        <is>
          <t>L:U2, L:U3, L:U4, L:U5</t>
        </is>
      </c>
      <c r="E37" s="2" t="inlineStr">
        <is>
          <t>SN74ACT00</t>
        </is>
      </c>
      <c r="F37" s="2" t="inlineStr">
        <is>
          <t>Texas Instruments Quad 2-Input NAND</t>
        </is>
      </c>
      <c r="G37" s="2" t="inlineStr">
        <is>
          <t>DIP-14_W7.62mm</t>
        </is>
      </c>
      <c r="H37" s="2" t="inlineStr">
        <is>
          <t>SN74ACT00N</t>
        </is>
      </c>
      <c r="I37" s="2" t="inlineStr">
        <is>
          <t>595-SN74ACT00N</t>
        </is>
      </c>
      <c r="J37" s="2" t="inlineStr"/>
    </row>
    <row r="38">
      <c r="A38" s="2" t="n">
        <v>37</v>
      </c>
      <c r="B38" s="2" t="inlineStr">
        <is>
          <t>Logic</t>
        </is>
      </c>
      <c r="C38" s="2" t="n">
        <v>1</v>
      </c>
      <c r="D38" s="2" t="inlineStr">
        <is>
          <t>L:U7</t>
        </is>
      </c>
      <c r="E38" s="2" t="inlineStr">
        <is>
          <t>74LS08</t>
        </is>
      </c>
      <c r="F38" s="2" t="inlineStr">
        <is>
          <t>Texas Instruments 4-Gate AND</t>
        </is>
      </c>
      <c r="G38" s="2" t="inlineStr">
        <is>
          <t>DIP-14_W7.62mm</t>
        </is>
      </c>
      <c r="H38" s="2" t="inlineStr">
        <is>
          <t>SN74LS08N</t>
        </is>
      </c>
      <c r="I38" s="2" t="inlineStr">
        <is>
          <t>595-SN74LS08N</t>
        </is>
      </c>
      <c r="J38" s="2" t="inlineStr"/>
    </row>
    <row r="39">
      <c r="A39" s="2" t="n">
        <v>38</v>
      </c>
      <c r="B39" s="2" t="inlineStr">
        <is>
          <t>Logic</t>
        </is>
      </c>
      <c r="C39" s="2" t="n">
        <v>1</v>
      </c>
      <c r="D39" s="2" t="inlineStr">
        <is>
          <t>L:U8</t>
        </is>
      </c>
      <c r="E39" s="2" t="inlineStr">
        <is>
          <t>4075</t>
        </is>
      </c>
      <c r="F39" s="2" t="inlineStr">
        <is>
          <t>Texas Instruments Triple 3-input OR Gate</t>
        </is>
      </c>
      <c r="G39" s="2" t="inlineStr">
        <is>
          <t>DIP-14_W7.62mm</t>
        </is>
      </c>
      <c r="H39" s="2" t="inlineStr">
        <is>
          <t>CD4075BE</t>
        </is>
      </c>
      <c r="I39" s="2" t="inlineStr">
        <is>
          <t>595-CD4075BE</t>
        </is>
      </c>
      <c r="J39" s="2" t="inlineStr"/>
    </row>
    <row r="41">
      <c r="A41" t="inlineStr"/>
      <c r="B41" t="inlineStr"/>
      <c r="C41">
        <f>SUM(C2:C39)</f>
        <v/>
      </c>
      <c r="D41" t="inlineStr">
        <is>
          <t>Total parts (excl. PCBs, shunts, hardware)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6" customWidth="1" min="3" max="3"/>
    <col width="30" customWidth="1" min="4" max="4"/>
    <col width="22" customWidth="1" min="5" max="5"/>
    <col width="60" customWidth="1" min="6" max="6"/>
    <col width="40" customWidth="1" min="7" max="7"/>
    <col width="18" customWidth="1" min="8" max="8"/>
    <col width="16" customWidth="1" min="9" max="9"/>
    <col width="60" customWidth="1" min="10" max="10"/>
  </cols>
  <sheetData>
    <row r="1">
      <c r="A1" s="1" t="inlineStr">
        <is>
          <t>Item</t>
        </is>
      </c>
      <c r="B1" s="1" t="inlineStr">
        <is>
          <t>Board</t>
        </is>
      </c>
      <c r="C1" s="1" t="inlineStr">
        <is>
          <t>Qty</t>
        </is>
      </c>
      <c r="D1" s="1" t="inlineStr">
        <is>
          <t>Reference(s)</t>
        </is>
      </c>
      <c r="E1" s="1" t="inlineStr">
        <is>
          <t>Schematic value</t>
        </is>
      </c>
      <c r="F1" s="1" t="inlineStr">
        <is>
          <t>Description (from Final BOM)</t>
        </is>
      </c>
      <c r="G1" s="1" t="inlineStr">
        <is>
          <t>Footprint</t>
        </is>
      </c>
      <c r="H1" s="1" t="inlineStr">
        <is>
          <t>MFR Part #</t>
        </is>
      </c>
      <c r="I1" s="1" t="inlineStr">
        <is>
          <t>Mouser Part #</t>
        </is>
      </c>
      <c r="J1" s="1" t="inlineStr">
        <is>
          <t>Notes</t>
        </is>
      </c>
    </row>
    <row r="2">
      <c r="A2" s="2" t="n">
        <v>1</v>
      </c>
      <c r="B2" s="2" t="inlineStr">
        <is>
          <t>Base</t>
        </is>
      </c>
      <c r="C2" s="2" t="n">
        <v>2</v>
      </c>
      <c r="D2" s="2" t="inlineStr">
        <is>
          <t>C1, C2</t>
        </is>
      </c>
      <c r="E2" s="2" t="inlineStr">
        <is>
          <t>C_Polarized_US</t>
        </is>
      </c>
      <c r="F2" s="2" t="inlineStr">
        <is>
          <t>100uF 50V Electrolythic Capacitor</t>
        </is>
      </c>
      <c r="G2" s="2" t="inlineStr">
        <is>
          <t>CP_Radial_D6.3mm_P2.50mm</t>
        </is>
      </c>
      <c r="H2" s="2" t="inlineStr">
        <is>
          <t>ESL107M050AGMAA</t>
        </is>
      </c>
      <c r="I2" s="2" t="inlineStr">
        <is>
          <t>80-ESL107M050AGMAA</t>
        </is>
      </c>
      <c r="J2" s="2" t="inlineStr"/>
    </row>
    <row r="3">
      <c r="A3" s="2" t="n">
        <v>2</v>
      </c>
      <c r="B3" s="2" t="inlineStr">
        <is>
          <t>Base</t>
        </is>
      </c>
      <c r="C3" s="2" t="n">
        <v>6</v>
      </c>
      <c r="D3" s="2" t="inlineStr">
        <is>
          <t>C3, C5, C6, C7, C10, C11</t>
        </is>
      </c>
      <c r="E3" s="2" t="inlineStr">
        <is>
          <t>100n</t>
        </is>
      </c>
      <c r="F3" s="2" t="inlineStr">
        <is>
          <t>100nF Ceramic disk capacitor</t>
        </is>
      </c>
      <c r="G3" s="2" t="inlineStr">
        <is>
          <t>C_Disc_D4.7mm_W2.5mm_P5.00mm</t>
        </is>
      </c>
      <c r="H3" s="2" t="inlineStr">
        <is>
          <t>S104Z93Z5VL83L0R</t>
        </is>
      </c>
      <c r="I3" s="2" t="inlineStr">
        <is>
          <t>594-S104Z93Z5VL83L0R</t>
        </is>
      </c>
      <c r="J3" s="2" t="inlineStr"/>
    </row>
    <row r="4">
      <c r="A4" s="2" t="n">
        <v>3</v>
      </c>
      <c r="B4" s="2" t="inlineStr">
        <is>
          <t>Base</t>
        </is>
      </c>
      <c r="C4" s="2" t="n">
        <v>1</v>
      </c>
      <c r="D4" s="2" t="inlineStr">
        <is>
          <t>C4</t>
        </is>
      </c>
      <c r="E4" s="2" t="inlineStr">
        <is>
          <t>1n</t>
        </is>
      </c>
      <c r="F4" s="2" t="inlineStr">
        <is>
          <t>1nF Ceramic Disk Capacitor</t>
        </is>
      </c>
      <c r="G4" s="2" t="inlineStr">
        <is>
          <t>C_Disc_D4.7mm_W2.5mm_P5.00mm</t>
        </is>
      </c>
      <c r="H4" s="2" t="inlineStr">
        <is>
          <t>FA28C0G1H102JNU00</t>
        </is>
      </c>
      <c r="I4" s="2" t="inlineStr">
        <is>
          <t>810-FA28C0G1H10200</t>
        </is>
      </c>
      <c r="J4" s="2" t="inlineStr">
        <is>
          <t>Verified on board: marked 102 (1 nF), matches schematic. Designators were swapped in the original Final BOM and are now corrected</t>
        </is>
      </c>
    </row>
    <row r="5">
      <c r="A5" s="2" t="n">
        <v>4</v>
      </c>
      <c r="B5" s="2" t="inlineStr">
        <is>
          <t>Base</t>
        </is>
      </c>
      <c r="C5" s="2" t="n">
        <v>1</v>
      </c>
      <c r="D5" s="2" t="inlineStr">
        <is>
          <t>C12</t>
        </is>
      </c>
      <c r="E5" s="2" t="inlineStr">
        <is>
          <t>100u</t>
        </is>
      </c>
      <c r="F5" s="2" t="inlineStr">
        <is>
          <t>100uF 25V Electrolythic Capacitor</t>
        </is>
      </c>
      <c r="G5" s="2" t="inlineStr">
        <is>
          <t>CP_Radial_D4.0mm_P1.50mm</t>
        </is>
      </c>
      <c r="H5" s="2" t="inlineStr">
        <is>
          <t>Kit part (no part number)</t>
        </is>
      </c>
      <c r="I5" s="2" t="inlineStr">
        <is>
          <t>NA</t>
        </is>
      </c>
      <c r="J5" s="2" t="inlineStr">
        <is>
          <t>Regular 100uF 25V electrolytic from a capacitor kit (no part number), leads bent so the top PCB does not hit it. The original Final BOM MPN (reads as 2.2uF/100V) did not match and was replaced</t>
        </is>
      </c>
    </row>
    <row r="6">
      <c r="A6" s="2" t="n">
        <v>5</v>
      </c>
      <c r="B6" s="2" t="inlineStr">
        <is>
          <t>Base</t>
        </is>
      </c>
      <c r="C6" s="2" t="n">
        <v>1</v>
      </c>
      <c r="D6" s="2" t="inlineStr">
        <is>
          <t>C13</t>
        </is>
      </c>
      <c r="E6" s="2" t="inlineStr">
        <is>
          <t>10u</t>
        </is>
      </c>
      <c r="F6" s="2" t="inlineStr">
        <is>
          <t>10uF Ceramic Disk Capacitor</t>
        </is>
      </c>
      <c r="G6" s="2" t="inlineStr">
        <is>
          <t>C_Disc_D4.7mm_W2.5mm_P5.00mm</t>
        </is>
      </c>
      <c r="H6" s="2" t="inlineStr">
        <is>
          <t>FG11X7R1H106KRT00</t>
        </is>
      </c>
      <c r="I6" s="2" t="inlineStr">
        <is>
          <t>810-FG11X7R1H106KRT0</t>
        </is>
      </c>
      <c r="J6" s="2" t="inlineStr">
        <is>
          <t>Verified on board: marked 106 (10 uF), matches schematic. Designators were swapped in the original Final BOM and are now corrected</t>
        </is>
      </c>
    </row>
    <row r="7">
      <c r="A7" s="2" t="n">
        <v>6</v>
      </c>
      <c r="B7" s="2" t="inlineStr">
        <is>
          <t>Base</t>
        </is>
      </c>
      <c r="C7" s="2" t="n">
        <v>1</v>
      </c>
      <c r="D7" s="2" t="inlineStr">
        <is>
          <t>IC1</t>
        </is>
      </c>
      <c r="E7" s="2" t="inlineStr">
        <is>
          <t>IXDN614PI</t>
        </is>
      </c>
      <c r="F7" s="2" t="inlineStr">
        <is>
          <t>IXYS MOSFET Gate Driver</t>
        </is>
      </c>
      <c r="G7" s="2" t="inlineStr">
        <is>
          <t>DIP-8_W7.62mm</t>
        </is>
      </c>
      <c r="H7" s="2" t="inlineStr">
        <is>
          <t>IXDN614PI</t>
        </is>
      </c>
      <c r="I7" s="2" t="inlineStr">
        <is>
          <t>849-IXDN614PI</t>
        </is>
      </c>
      <c r="J7" s="2" t="inlineStr"/>
    </row>
    <row r="8">
      <c r="A8" s="2" t="n">
        <v>7</v>
      </c>
      <c r="B8" s="2" t="inlineStr">
        <is>
          <t>Base</t>
        </is>
      </c>
      <c r="C8" s="2" t="n">
        <v>1</v>
      </c>
      <c r="D8" s="2" t="inlineStr">
        <is>
          <t>J1</t>
        </is>
      </c>
      <c r="E8" s="2" t="inlineStr">
        <is>
          <t>J6</t>
        </is>
      </c>
      <c r="F8" s="2" t="inlineStr">
        <is>
          <t>Screw Terminal Blocks</t>
        </is>
      </c>
      <c r="G8" s="2" t="inlineStr">
        <is>
          <t>1700812</t>
        </is>
      </c>
      <c r="H8" s="2" t="inlineStr">
        <is>
          <t>1725041</t>
        </is>
      </c>
      <c r="I8" s="2" t="inlineStr">
        <is>
          <t>651-1725041</t>
        </is>
      </c>
      <c r="J8" s="2" t="inlineStr">
        <is>
          <t>Final BOM lists 6 terminal blocks (1725041) for J1 and J3 combined</t>
        </is>
      </c>
    </row>
    <row r="9">
      <c r="A9" s="2" t="n">
        <v>8</v>
      </c>
      <c r="B9" s="2" t="inlineStr">
        <is>
          <t>Base</t>
        </is>
      </c>
      <c r="C9" s="2" t="n">
        <v>2</v>
      </c>
      <c r="D9" s="2" t="inlineStr">
        <is>
          <t>J2, J8</t>
        </is>
      </c>
      <c r="E9" s="2" t="inlineStr">
        <is>
          <t>Conn_02x09_Counter_Clockwise</t>
        </is>
      </c>
      <c r="F9" s="2" t="inlineStr">
        <is>
          <t>02x09 Pin Socket</t>
        </is>
      </c>
      <c r="G9" s="2" t="inlineStr">
        <is>
          <t>PinSocket_2x09_P2.54mm_Vertical</t>
        </is>
      </c>
      <c r="H9" s="2" t="inlineStr">
        <is>
          <t>215307-9</t>
        </is>
      </c>
      <c r="I9" s="2" t="inlineStr">
        <is>
          <t>571-215307-9</t>
        </is>
      </c>
      <c r="J9" s="2" t="inlineStr"/>
    </row>
    <row r="10">
      <c r="A10" s="2" t="n">
        <v>9</v>
      </c>
      <c r="B10" s="2" t="inlineStr">
        <is>
          <t>Base</t>
        </is>
      </c>
      <c r="C10" s="2" t="n">
        <v>1</v>
      </c>
      <c r="D10" s="2" t="inlineStr">
        <is>
          <t>J3</t>
        </is>
      </c>
      <c r="E10" s="2" t="inlineStr">
        <is>
          <t>1700812</t>
        </is>
      </c>
      <c r="F10" s="2" t="inlineStr">
        <is>
          <t>Screw Terminal Blocks</t>
        </is>
      </c>
      <c r="G10" s="2" t="inlineStr">
        <is>
          <t>1700812</t>
        </is>
      </c>
      <c r="H10" s="2" t="inlineStr">
        <is>
          <t>1725041</t>
        </is>
      </c>
      <c r="I10" s="2" t="inlineStr">
        <is>
          <t>651-1725041</t>
        </is>
      </c>
      <c r="J10" s="2" t="inlineStr">
        <is>
          <t>Final BOM lists 6 terminal blocks (1725041) for J1 and J3 combined</t>
        </is>
      </c>
    </row>
    <row r="11">
      <c r="A11" s="2" t="n">
        <v>10</v>
      </c>
      <c r="B11" s="2" t="inlineStr">
        <is>
          <t>Base</t>
        </is>
      </c>
      <c r="C11" s="2" t="n">
        <v>2</v>
      </c>
      <c r="D11" s="2" t="inlineStr">
        <is>
          <t>J5, J6</t>
        </is>
      </c>
      <c r="E11" s="2" t="inlineStr">
        <is>
          <t>Conn_Coaxial</t>
        </is>
      </c>
      <c r="F11" s="2" t="inlineStr">
        <is>
          <t>BNC female PCB mounted Connector</t>
        </is>
      </c>
      <c r="G11" s="2" t="inlineStr">
        <is>
          <t>BNC_TEConnectivity_1478204_Vertical</t>
        </is>
      </c>
      <c r="H11" s="2" t="inlineStr">
        <is>
          <t>1-1478204-0</t>
        </is>
      </c>
      <c r="I11" s="2" t="inlineStr">
        <is>
          <t>571-1-1478204-0</t>
        </is>
      </c>
      <c r="J11" s="2" t="inlineStr"/>
    </row>
    <row r="12">
      <c r="A12" s="2" t="n">
        <v>11</v>
      </c>
      <c r="B12" s="2" t="inlineStr">
        <is>
          <t>Base</t>
        </is>
      </c>
      <c r="C12" s="2" t="n">
        <v>2</v>
      </c>
      <c r="D12" s="2" t="inlineStr">
        <is>
          <t>J7, J10</t>
        </is>
      </c>
      <c r="E12" s="2" t="inlineStr">
        <is>
          <t>Conn_01x03_Pin</t>
        </is>
      </c>
      <c r="F12" s="2" t="inlineStr">
        <is>
          <t>Fiber RX/TX Eval boards.</t>
        </is>
      </c>
      <c r="G12" s="2" t="inlineStr">
        <is>
          <t>FanPinHeader_1x03_P2.54mm_Vertical</t>
        </is>
      </c>
      <c r="H12" s="2" t="inlineStr">
        <is>
          <t>AFBR-0548Z</t>
        </is>
      </c>
      <c r="I12" s="2" t="inlineStr">
        <is>
          <t>630-AFBR-0548Z</t>
        </is>
      </c>
      <c r="J12" s="2" t="inlineStr">
        <is>
          <t>Final BOM: one AFBR-0548Z eval board (qty 1) for J7 and J10; modifications to be documented</t>
        </is>
      </c>
    </row>
    <row r="13">
      <c r="A13" s="2" t="n">
        <v>12</v>
      </c>
      <c r="B13" s="2" t="inlineStr">
        <is>
          <t>Base</t>
        </is>
      </c>
      <c r="C13" s="2" t="n">
        <v>2</v>
      </c>
      <c r="D13" s="2" t="inlineStr">
        <is>
          <t>JP1, JP2</t>
        </is>
      </c>
      <c r="E13" s="2" t="inlineStr">
        <is>
          <t>Jumper_3_Open</t>
        </is>
      </c>
      <c r="F13" s="2" t="inlineStr">
        <is>
          <t>Jumper Pins (2 pin ones must be modded) - 6 used + 1 spare</t>
        </is>
      </c>
      <c r="G13" s="2" t="inlineStr">
        <is>
          <t>PinHeader_1x03_P2.54mm_Vertical</t>
        </is>
      </c>
      <c r="H13" s="2" t="inlineStr">
        <is>
          <t>90120-0763</t>
        </is>
      </c>
      <c r="I13" s="2" t="inlineStr">
        <is>
          <t>538-90120-0763</t>
        </is>
      </c>
      <c r="J13" s="2" t="inlineStr">
        <is>
          <t>Final BOM item 10 qty 7 = 6 used (JP1-JP6) + 1 spare; 2-pin ones must be modified</t>
        </is>
      </c>
    </row>
    <row r="14">
      <c r="A14" s="2" t="n">
        <v>13</v>
      </c>
      <c r="B14" s="2" t="inlineStr">
        <is>
          <t>Base</t>
        </is>
      </c>
      <c r="C14" s="2" t="n">
        <v>4</v>
      </c>
      <c r="D14" s="2" t="inlineStr">
        <is>
          <t>JP3, JP4, JP5, JP6</t>
        </is>
      </c>
      <c r="E14" s="2" t="inlineStr">
        <is>
          <t>Jumper_2_Small_Open</t>
        </is>
      </c>
      <c r="F14" s="2" t="inlineStr">
        <is>
          <t>Jumper Pins (2 pin ones must be modded) - 6 used + 1 spare</t>
        </is>
      </c>
      <c r="G14" s="2" t="inlineStr">
        <is>
          <t>TestPoint_2Pads_Pitch2.54mm_Drill0.8mm</t>
        </is>
      </c>
      <c r="H14" s="2" t="inlineStr">
        <is>
          <t>90120-0763</t>
        </is>
      </c>
      <c r="I14" s="2" t="inlineStr">
        <is>
          <t>538-90120-0763</t>
        </is>
      </c>
      <c r="J14" s="2" t="inlineStr">
        <is>
          <t>2-pin headers must be modified (per Final BOM)</t>
        </is>
      </c>
    </row>
    <row r="15">
      <c r="A15" s="2" t="n">
        <v>14</v>
      </c>
      <c r="B15" s="2" t="inlineStr">
        <is>
          <t>Base</t>
        </is>
      </c>
      <c r="C15" s="2" t="n">
        <v>1</v>
      </c>
      <c r="D15" s="2" t="inlineStr">
        <is>
          <t>R13</t>
        </is>
      </c>
      <c r="E15" s="2" t="inlineStr">
        <is>
          <t>1k5</t>
        </is>
      </c>
      <c r="F15" s="2" t="inlineStr">
        <is>
          <t>1K5 ohm 1/4W</t>
        </is>
      </c>
      <c r="G15" s="2" t="inlineStr">
        <is>
          <t>R_Axial_DIN0207_L6.3mm_D2.5mm_P10.16mm_Horizontal</t>
        </is>
      </c>
      <c r="H15" s="2" t="inlineStr">
        <is>
          <t>MFR-25FBF52-1K5</t>
        </is>
      </c>
      <c r="I15" s="2" t="inlineStr">
        <is>
          <t>603-MFR-25FBF52-1K5</t>
        </is>
      </c>
      <c r="J15" s="2" t="inlineStr"/>
    </row>
    <row r="16">
      <c r="A16" s="2" t="n">
        <v>15</v>
      </c>
      <c r="B16" s="2" t="inlineStr">
        <is>
          <t>Base</t>
        </is>
      </c>
      <c r="C16" s="2" t="n">
        <v>1</v>
      </c>
      <c r="D16" s="2" t="inlineStr">
        <is>
          <t>R14</t>
        </is>
      </c>
      <c r="E16" s="2" t="inlineStr">
        <is>
          <t>22k</t>
        </is>
      </c>
      <c r="F16" s="2" t="inlineStr">
        <is>
          <t>22Kohm 1/4W</t>
        </is>
      </c>
      <c r="G16" s="2" t="inlineStr">
        <is>
          <t>R_Axial_DIN0207_L6.3mm_D2.5mm_P10.16mm_Horizontal</t>
        </is>
      </c>
      <c r="H16" s="2" t="inlineStr">
        <is>
          <t>MFR-25FTF52-22K</t>
        </is>
      </c>
      <c r="I16" s="2" t="inlineStr">
        <is>
          <t>603-MFR-25FTF52-22K</t>
        </is>
      </c>
      <c r="J16" s="2" t="inlineStr"/>
    </row>
    <row r="17">
      <c r="A17" s="2" t="n">
        <v>16</v>
      </c>
      <c r="B17" s="2" t="inlineStr">
        <is>
          <t>Base</t>
        </is>
      </c>
      <c r="C17" s="2" t="n">
        <v>1</v>
      </c>
      <c r="D17" s="2" t="inlineStr">
        <is>
          <t>R16</t>
        </is>
      </c>
      <c r="E17" s="2" t="inlineStr">
        <is>
          <t>100</t>
        </is>
      </c>
      <c r="F17" s="2" t="inlineStr">
        <is>
          <t>100 ohm 1/4W</t>
        </is>
      </c>
      <c r="G17" s="2" t="inlineStr">
        <is>
          <t>R_Axial_DIN0207_L6.3mm_D2.5mm_P10.16mm_Horizontal</t>
        </is>
      </c>
      <c r="H17" s="2" t="inlineStr">
        <is>
          <t>MFR-25FBF52-100R</t>
        </is>
      </c>
      <c r="I17" s="2" t="inlineStr">
        <is>
          <t>603-MFR-25FBF52-100R</t>
        </is>
      </c>
      <c r="J17" s="2" t="inlineStr"/>
    </row>
    <row r="18">
      <c r="A18" s="2" t="n">
        <v>17</v>
      </c>
      <c r="B18" s="2" t="inlineStr">
        <is>
          <t>Base</t>
        </is>
      </c>
      <c r="C18" s="2" t="n">
        <v>2</v>
      </c>
      <c r="D18" s="2" t="inlineStr">
        <is>
          <t>R30, R32</t>
        </is>
      </c>
      <c r="E18" s="2" t="inlineStr">
        <is>
          <t>50_1W</t>
        </is>
      </c>
      <c r="F18" s="2" t="inlineStr">
        <is>
          <t>50-Ohm 1W Resistor</t>
        </is>
      </c>
      <c r="G18" s="2" t="inlineStr">
        <is>
          <t>R_Axial_DIN0411_L9.9mm_D3.6mm_P15.24mm_Horizontal</t>
        </is>
      </c>
      <c r="H18" s="2" t="inlineStr">
        <is>
          <t>PAC100005009FA1000</t>
        </is>
      </c>
      <c r="I18" s="2" t="inlineStr">
        <is>
          <t>71-PAC100005009FA100</t>
        </is>
      </c>
      <c r="J18" s="2" t="inlineStr"/>
    </row>
    <row r="19">
      <c r="A19" s="2" t="n">
        <v>18</v>
      </c>
      <c r="B19" s="2" t="inlineStr">
        <is>
          <t>Base</t>
        </is>
      </c>
      <c r="C19" s="2" t="n">
        <v>1</v>
      </c>
      <c r="D19" s="2" t="inlineStr">
        <is>
          <t>R31</t>
        </is>
      </c>
      <c r="E19" s="2" t="inlineStr">
        <is>
          <t>100k</t>
        </is>
      </c>
      <c r="F19" s="2" t="inlineStr">
        <is>
          <t>100K ohm 1/4W</t>
        </is>
      </c>
      <c r="G19" s="2" t="inlineStr">
        <is>
          <t>R_Axial_DIN0207_L6.3mm_D2.5mm_P10.16mm_Horizontal</t>
        </is>
      </c>
      <c r="H19" s="2" t="inlineStr">
        <is>
          <t>MFR-25FTE52-100K</t>
        </is>
      </c>
      <c r="I19" s="2" t="inlineStr">
        <is>
          <t>603-MFR-25FTE52-100K</t>
        </is>
      </c>
      <c r="J19" s="2" t="inlineStr"/>
    </row>
    <row r="20">
      <c r="A20" s="2" t="n">
        <v>19</v>
      </c>
      <c r="B20" s="2" t="inlineStr">
        <is>
          <t>Base</t>
        </is>
      </c>
      <c r="C20" s="2" t="n">
        <v>1</v>
      </c>
      <c r="D20" s="2" t="inlineStr">
        <is>
          <t>RN1</t>
        </is>
      </c>
      <c r="E20" s="2" t="inlineStr">
        <is>
          <t>4k7</t>
        </is>
      </c>
      <c r="F20" s="2" t="inlineStr">
        <is>
          <t>Resistor Network Isolated(4k7x05)</t>
        </is>
      </c>
      <c r="G20" s="2" t="inlineStr">
        <is>
          <t>R_Array_SIP10</t>
        </is>
      </c>
      <c r="H20" s="2" t="inlineStr">
        <is>
          <t>770103472P</t>
        </is>
      </c>
      <c r="I20" s="2" t="inlineStr">
        <is>
          <t>774-770103472P</t>
        </is>
      </c>
      <c r="J20" s="2" t="inlineStr"/>
    </row>
    <row r="21">
      <c r="A21" s="2" t="n">
        <v>20</v>
      </c>
      <c r="B21" s="2" t="inlineStr">
        <is>
          <t>Base</t>
        </is>
      </c>
      <c r="C21" s="2" t="n">
        <v>2</v>
      </c>
      <c r="D21" s="2" t="inlineStr">
        <is>
          <t>RN2, RN5</t>
        </is>
      </c>
      <c r="E21" s="2" t="inlineStr">
        <is>
          <t>1k</t>
        </is>
      </c>
      <c r="F21" s="2" t="inlineStr">
        <is>
          <t>Resistor Network Isolated(1k06)</t>
        </is>
      </c>
      <c r="G21" s="2" t="inlineStr">
        <is>
          <t>R_Array_SIP12</t>
        </is>
      </c>
      <c r="H21" s="2" t="inlineStr">
        <is>
          <t>4612X-102-102LF</t>
        </is>
      </c>
      <c r="I21" s="2" t="inlineStr">
        <is>
          <t>652-4612X-2LF-1K</t>
        </is>
      </c>
      <c r="J21" s="2" t="inlineStr"/>
    </row>
    <row r="22">
      <c r="A22" s="2" t="n">
        <v>21</v>
      </c>
      <c r="B22" s="2" t="inlineStr">
        <is>
          <t>Base</t>
        </is>
      </c>
      <c r="C22" s="2" t="n">
        <v>1</v>
      </c>
      <c r="D22" s="2" t="inlineStr">
        <is>
          <t>RN3</t>
        </is>
      </c>
      <c r="E22" s="2" t="inlineStr">
        <is>
          <t>470</t>
        </is>
      </c>
      <c r="F22" s="2" t="inlineStr">
        <is>
          <t>Resistor Network Isolated (470x05)</t>
        </is>
      </c>
      <c r="G22" s="2" t="inlineStr">
        <is>
          <t>R_Array_SIP10</t>
        </is>
      </c>
      <c r="H22" s="2" t="inlineStr">
        <is>
          <t>4610X-102-471LF</t>
        </is>
      </c>
      <c r="I22" s="2" t="inlineStr">
        <is>
          <t>652-4610X-2LF-470</t>
        </is>
      </c>
      <c r="J22" s="2" t="inlineStr"/>
    </row>
    <row r="23">
      <c r="A23" s="2" t="n">
        <v>22</v>
      </c>
      <c r="B23" s="2" t="inlineStr">
        <is>
          <t>Base</t>
        </is>
      </c>
      <c r="C23" s="2" t="n">
        <v>1</v>
      </c>
      <c r="D23" s="2" t="inlineStr">
        <is>
          <t>RN4</t>
        </is>
      </c>
      <c r="E23" s="2" t="inlineStr">
        <is>
          <t>470</t>
        </is>
      </c>
      <c r="F23" s="2" t="inlineStr">
        <is>
          <t>Resistor Network Isolated (470x06)</t>
        </is>
      </c>
      <c r="G23" s="2" t="inlineStr">
        <is>
          <t>R_Array_SIP12</t>
        </is>
      </c>
      <c r="H23" s="2" t="inlineStr">
        <is>
          <t>4612X-102-471LF</t>
        </is>
      </c>
      <c r="I23" s="2" t="inlineStr">
        <is>
          <t>652-4612X-2LF-470</t>
        </is>
      </c>
      <c r="J23" s="2" t="inlineStr"/>
    </row>
    <row r="24">
      <c r="A24" s="2" t="n">
        <v>23</v>
      </c>
      <c r="B24" s="2" t="inlineStr">
        <is>
          <t>Base</t>
        </is>
      </c>
      <c r="C24" s="2" t="n">
        <v>3</v>
      </c>
      <c r="D24" s="2" t="inlineStr">
        <is>
          <t>RN6, RN7, RN8</t>
        </is>
      </c>
      <c r="E24" s="2" t="inlineStr">
        <is>
          <t>10k</t>
        </is>
      </c>
      <c r="F24" s="2" t="inlineStr">
        <is>
          <t>Resistor Network Bussed(10Kx04)</t>
        </is>
      </c>
      <c r="G24" s="2" t="inlineStr">
        <is>
          <t>R_Array_SIP5</t>
        </is>
      </c>
      <c r="H24" s="2" t="inlineStr">
        <is>
          <t>4605X-101-103FLF</t>
        </is>
      </c>
      <c r="I24" s="2" t="inlineStr">
        <is>
          <t>652-4605X-101-103FLF</t>
        </is>
      </c>
      <c r="J24" s="2" t="inlineStr"/>
    </row>
    <row r="25">
      <c r="A25" s="2" t="n">
        <v>24</v>
      </c>
      <c r="B25" s="2" t="inlineStr">
        <is>
          <t>Base</t>
        </is>
      </c>
      <c r="C25" s="2" t="n">
        <v>1</v>
      </c>
      <c r="D25" s="2" t="inlineStr">
        <is>
          <t>SW1</t>
        </is>
      </c>
      <c r="E25" s="2" t="inlineStr">
        <is>
          <t>SW_Push</t>
        </is>
      </c>
      <c r="F25" s="2" t="inlineStr">
        <is>
          <t>Tactile switch</t>
        </is>
      </c>
      <c r="G25" s="2" t="inlineStr">
        <is>
          <t>SW_PUSH_6mm_H5mm</t>
        </is>
      </c>
      <c r="H25" s="2" t="inlineStr">
        <is>
          <t>TS02-66-60-BK-260-LCR-D</t>
        </is>
      </c>
      <c r="I25" s="2" t="inlineStr">
        <is>
          <t>179-TS026660BK260LCR</t>
        </is>
      </c>
      <c r="J25" s="2" t="inlineStr"/>
    </row>
    <row r="26">
      <c r="A26" s="2" t="n">
        <v>25</v>
      </c>
      <c r="B26" s="2" t="inlineStr">
        <is>
          <t>Base</t>
        </is>
      </c>
      <c r="C26" s="2" t="n">
        <v>2</v>
      </c>
      <c r="D26" s="2" t="inlineStr">
        <is>
          <t>SW2, SW3</t>
        </is>
      </c>
      <c r="E26" s="2" t="inlineStr">
        <is>
          <t>SW_Wuerth_450301014042</t>
        </is>
      </c>
      <c r="F26" s="2" t="inlineStr">
        <is>
          <t>Wuerth Switch</t>
        </is>
      </c>
      <c r="G26" s="2" t="inlineStr">
        <is>
          <t>SW_Slide-03_Wuerth-WS-SLTV_10x2.5x6.4_P2.54mm</t>
        </is>
      </c>
      <c r="H26" s="2" t="inlineStr">
        <is>
          <t>450301014042</t>
        </is>
      </c>
      <c r="I26" s="2" t="inlineStr">
        <is>
          <t>710-450301014042</t>
        </is>
      </c>
      <c r="J26" s="2" t="inlineStr"/>
    </row>
    <row r="27">
      <c r="A27" s="2" t="n">
        <v>26</v>
      </c>
      <c r="B27" s="2" t="inlineStr">
        <is>
          <t>Base</t>
        </is>
      </c>
      <c r="C27" s="2" t="n">
        <v>1</v>
      </c>
      <c r="D27" s="2" t="inlineStr">
        <is>
          <t>U1</t>
        </is>
      </c>
      <c r="E27" s="2" t="inlineStr">
        <is>
          <t>WPME-FDSM_SIP-3</t>
        </is>
      </c>
      <c r="F27" s="2" t="inlineStr">
        <is>
          <t>Wuerth Electronik Voltage Regulator</t>
        </is>
      </c>
      <c r="G27" s="2" t="inlineStr">
        <is>
          <t>CONV_173010578</t>
        </is>
      </c>
      <c r="H27" s="2" t="inlineStr">
        <is>
          <t>173010578</t>
        </is>
      </c>
      <c r="I27" s="2" t="inlineStr">
        <is>
          <t>710-173010578</t>
        </is>
      </c>
      <c r="J27" s="2" t="inlineStr">
        <is>
          <t>Same Würth DC-DC regulator as logic U1</t>
        </is>
      </c>
    </row>
    <row r="28">
      <c r="A28" s="2" t="n">
        <v>27</v>
      </c>
      <c r="B28" s="2" t="inlineStr">
        <is>
          <t>Base</t>
        </is>
      </c>
      <c r="C28" s="2" t="n">
        <v>4</v>
      </c>
      <c r="D28" s="2" t="inlineStr">
        <is>
          <t>U2, U3, U7, U8</t>
        </is>
      </c>
      <c r="E28" s="2" t="inlineStr">
        <is>
          <t>PS2501L-4-A</t>
        </is>
      </c>
      <c r="F28" s="2" t="inlineStr">
        <is>
          <t>4-Channel OptoCoupler</t>
        </is>
      </c>
      <c r="G28" s="2" t="inlineStr">
        <is>
          <t>DIP-16_W7.62mm</t>
        </is>
      </c>
      <c r="H28" s="2" t="inlineStr">
        <is>
          <t>PS2501-4-A</t>
        </is>
      </c>
      <c r="I28" s="2" t="inlineStr">
        <is>
          <t>551-PS2501-4-A</t>
        </is>
      </c>
      <c r="J28" s="2" t="inlineStr">
        <is>
          <t>Schematic symbol PS2501L-4-A; ordered PS2501-4-A (DIP-16)</t>
        </is>
      </c>
    </row>
    <row r="29">
      <c r="A29" s="2" t="n">
        <v>28</v>
      </c>
      <c r="B29" s="2" t="inlineStr">
        <is>
          <t>Base</t>
        </is>
      </c>
      <c r="C29" s="2" t="n">
        <v>1</v>
      </c>
      <c r="D29" s="2" t="inlineStr">
        <is>
          <t>U4</t>
        </is>
      </c>
      <c r="E29" s="2" t="inlineStr">
        <is>
          <t>74LS221</t>
        </is>
      </c>
      <c r="F29" s="2" t="inlineStr">
        <is>
          <t>Texas Instruments Monostable Multivibrator</t>
        </is>
      </c>
      <c r="G29" s="2" t="inlineStr">
        <is>
          <t>DIP-16_W7.62mm</t>
        </is>
      </c>
      <c r="H29" s="2" t="inlineStr">
        <is>
          <t>SN74LS221NE4</t>
        </is>
      </c>
      <c r="I29" s="2" t="inlineStr">
        <is>
          <t>595-SN74LS221NE4</t>
        </is>
      </c>
      <c r="J29" s="2" t="inlineStr"/>
    </row>
    <row r="30">
      <c r="A30" s="2" t="n">
        <v>29</v>
      </c>
      <c r="B30" s="2" t="inlineStr">
        <is>
          <t>Base</t>
        </is>
      </c>
      <c r="C30" s="2" t="n">
        <v>1</v>
      </c>
      <c r="D30" s="2" t="inlineStr">
        <is>
          <t>U5</t>
        </is>
      </c>
      <c r="E30" s="2" t="inlineStr">
        <is>
          <t>74AHCT04</t>
        </is>
      </c>
      <c r="F30" s="2" t="inlineStr">
        <is>
          <t>Texas Instruments Hex Inverter</t>
        </is>
      </c>
      <c r="G30" s="2" t="inlineStr">
        <is>
          <t>DIP-14_W7.62mm</t>
        </is>
      </c>
      <c r="H30" s="2" t="inlineStr">
        <is>
          <t>SN74AHCT04N</t>
        </is>
      </c>
      <c r="I30" s="2" t="inlineStr">
        <is>
          <t>595-SN74AHCT04N</t>
        </is>
      </c>
      <c r="J30" s="2" t="inlineStr">
        <is>
          <t>Mouser # corrected to 595-SN74AHCT04N (595- prefix was missing in the original Final BOM)</t>
        </is>
      </c>
    </row>
    <row r="31">
      <c r="A31" s="2" t="n">
        <v>30</v>
      </c>
      <c r="B31" s="2" t="inlineStr">
        <is>
          <t>Base</t>
        </is>
      </c>
      <c r="C31" s="2" t="n">
        <v>1</v>
      </c>
      <c r="D31" s="2" t="inlineStr">
        <is>
          <t>U6</t>
        </is>
      </c>
      <c r="E31" s="2" t="inlineStr">
        <is>
          <t>74LS08</t>
        </is>
      </c>
      <c r="F31" s="2" t="inlineStr">
        <is>
          <t>Texas Instruments 4-Gate AND</t>
        </is>
      </c>
      <c r="G31" s="2" t="inlineStr">
        <is>
          <t>DIP-14_W7.62mm</t>
        </is>
      </c>
      <c r="H31" s="2" t="inlineStr">
        <is>
          <t>SN74LS08N</t>
        </is>
      </c>
      <c r="I31" s="2" t="inlineStr">
        <is>
          <t>595-SN74LS08N</t>
        </is>
      </c>
      <c r="J31" s="2" t="inlineStr"/>
    </row>
    <row r="32">
      <c r="A32" s="2" t="n">
        <v>31</v>
      </c>
      <c r="B32" s="2" t="inlineStr">
        <is>
          <t>Base</t>
        </is>
      </c>
      <c r="C32" s="2" t="n">
        <v>1</v>
      </c>
      <c r="D32" s="2" t="inlineStr">
        <is>
          <t>U9</t>
        </is>
      </c>
      <c r="E32" s="2" t="inlineStr">
        <is>
          <t>74AHCT123</t>
        </is>
      </c>
      <c r="F32" s="2" t="inlineStr">
        <is>
          <t>Texas Instruments Monostable Multivibrator</t>
        </is>
      </c>
      <c r="G32" s="2" t="inlineStr">
        <is>
          <t>DIP-16_W7.62mm</t>
        </is>
      </c>
      <c r="H32" s="2" t="inlineStr">
        <is>
          <t>SN74AHCT123AN</t>
        </is>
      </c>
      <c r="I32" s="2" t="inlineStr">
        <is>
          <t>595-SN74AHCT123AN</t>
        </is>
      </c>
      <c r="J3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6" customWidth="1" min="3" max="3"/>
    <col width="30" customWidth="1" min="4" max="4"/>
    <col width="22" customWidth="1" min="5" max="5"/>
    <col width="60" customWidth="1" min="6" max="6"/>
    <col width="40" customWidth="1" min="7" max="7"/>
    <col width="18" customWidth="1" min="8" max="8"/>
    <col width="16" customWidth="1" min="9" max="9"/>
    <col width="60" customWidth="1" min="10" max="10"/>
  </cols>
  <sheetData>
    <row r="1">
      <c r="A1" s="1" t="inlineStr">
        <is>
          <t>Item</t>
        </is>
      </c>
      <c r="B1" s="1" t="inlineStr">
        <is>
          <t>Board</t>
        </is>
      </c>
      <c r="C1" s="1" t="inlineStr">
        <is>
          <t>Qty</t>
        </is>
      </c>
      <c r="D1" s="1" t="inlineStr">
        <is>
          <t>Reference(s)</t>
        </is>
      </c>
      <c r="E1" s="1" t="inlineStr">
        <is>
          <t>Schematic value</t>
        </is>
      </c>
      <c r="F1" s="1" t="inlineStr">
        <is>
          <t>Description (from Final BOM)</t>
        </is>
      </c>
      <c r="G1" s="1" t="inlineStr">
        <is>
          <t>Footprint</t>
        </is>
      </c>
      <c r="H1" s="1" t="inlineStr">
        <is>
          <t>MFR Part #</t>
        </is>
      </c>
      <c r="I1" s="1" t="inlineStr">
        <is>
          <t>Mouser Part #</t>
        </is>
      </c>
      <c r="J1" s="1" t="inlineStr">
        <is>
          <t>Notes</t>
        </is>
      </c>
    </row>
    <row r="2">
      <c r="A2" s="2" t="n">
        <v>1</v>
      </c>
      <c r="B2" s="2" t="inlineStr">
        <is>
          <t>Logic</t>
        </is>
      </c>
      <c r="C2" s="2" t="n">
        <v>2</v>
      </c>
      <c r="D2" s="2" t="inlineStr">
        <is>
          <t>C1, C2</t>
        </is>
      </c>
      <c r="E2" s="2" t="inlineStr">
        <is>
          <t>C_Polarized_US</t>
        </is>
      </c>
      <c r="F2" s="2" t="inlineStr">
        <is>
          <t>100uF 50V Electrolythic Capacitor</t>
        </is>
      </c>
      <c r="G2" s="2" t="inlineStr">
        <is>
          <t>CP_Radial_D8.0mm_P3.80mm</t>
        </is>
      </c>
      <c r="H2" s="2" t="inlineStr">
        <is>
          <t>ESL107M050AGMAA</t>
        </is>
      </c>
      <c r="I2" s="2" t="inlineStr">
        <is>
          <t>80-ESL107M050AGMAA</t>
        </is>
      </c>
      <c r="J2" s="2" t="inlineStr"/>
    </row>
    <row r="3">
      <c r="A3" s="2" t="n">
        <v>2</v>
      </c>
      <c r="B3" s="2" t="inlineStr">
        <is>
          <t>Logic</t>
        </is>
      </c>
      <c r="C3" s="2" t="n">
        <v>7</v>
      </c>
      <c r="D3" s="2" t="inlineStr">
        <is>
          <t>C3, C4, C5, C6, C7, C8, C9</t>
        </is>
      </c>
      <c r="E3" s="2" t="inlineStr">
        <is>
          <t>100n</t>
        </is>
      </c>
      <c r="F3" s="2" t="inlineStr">
        <is>
          <t>100 nF Ceramic disk capacitor</t>
        </is>
      </c>
      <c r="G3" s="2" t="inlineStr">
        <is>
          <t>C_Disc_D5.0mm_W2.5mm_P2.50mm</t>
        </is>
      </c>
      <c r="H3" s="2" t="inlineStr">
        <is>
          <t>S104Z93Z5VL83L0R</t>
        </is>
      </c>
      <c r="I3" s="2" t="inlineStr">
        <is>
          <t>594-S104Z93Z5VL83L0R</t>
        </is>
      </c>
      <c r="J3" s="2" t="inlineStr"/>
    </row>
    <row r="4">
      <c r="A4" s="2" t="n">
        <v>3</v>
      </c>
      <c r="B4" s="2" t="inlineStr">
        <is>
          <t>Logic</t>
        </is>
      </c>
      <c r="C4" s="2" t="n">
        <v>2</v>
      </c>
      <c r="D4" s="2" t="inlineStr">
        <is>
          <t>J1, J2</t>
        </is>
      </c>
      <c r="E4" s="2" t="inlineStr">
        <is>
          <t>Conn_02x09_Counter_Clockwise</t>
        </is>
      </c>
      <c r="F4" s="2" t="inlineStr">
        <is>
          <t>02x09 Pin Header</t>
        </is>
      </c>
      <c r="G4" s="2" t="inlineStr">
        <is>
          <t>PinHeader_2x09_P2.54mm_Vertical</t>
        </is>
      </c>
      <c r="H4" s="2" t="inlineStr">
        <is>
          <t>826925-9</t>
        </is>
      </c>
      <c r="I4" s="2" t="inlineStr">
        <is>
          <t>571-826925-9</t>
        </is>
      </c>
      <c r="J4" s="2" t="inlineStr"/>
    </row>
    <row r="5">
      <c r="A5" s="2" t="n">
        <v>4</v>
      </c>
      <c r="B5" s="2" t="inlineStr">
        <is>
          <t>Logic</t>
        </is>
      </c>
      <c r="C5" s="2" t="n">
        <v>1</v>
      </c>
      <c r="D5" s="2" t="inlineStr">
        <is>
          <t>R1</t>
        </is>
      </c>
      <c r="E5" s="2" t="inlineStr">
        <is>
          <t>10k</t>
        </is>
      </c>
      <c r="F5" s="2" t="inlineStr">
        <is>
          <t>10K 1% 1/4W Resistor</t>
        </is>
      </c>
      <c r="G5" s="2" t="inlineStr">
        <is>
          <t>R_Axial_DIN0207_L6.3mm_D2.5mm_P10.16mm_Horizontal</t>
        </is>
      </c>
      <c r="H5" s="2" t="inlineStr">
        <is>
          <t>Kit part (no part number)</t>
        </is>
      </c>
      <c r="I5" s="2" t="inlineStr">
        <is>
          <t>NA</t>
        </is>
      </c>
      <c r="J5" s="2" t="inlineStr">
        <is>
          <t>Verified on board: bands brown-black-black-red-brown = 10k 1%, matches schematic. From a resistor kit (no part number). The original Final BOM MPN (reads as 6.8k) did not match and was replaced</t>
        </is>
      </c>
    </row>
    <row r="6">
      <c r="A6" s="2" t="n">
        <v>5</v>
      </c>
      <c r="B6" s="2" t="inlineStr">
        <is>
          <t>Logic</t>
        </is>
      </c>
      <c r="C6" s="2" t="n">
        <v>1</v>
      </c>
      <c r="D6" s="2" t="inlineStr">
        <is>
          <t>U1</t>
        </is>
      </c>
      <c r="E6" s="2" t="inlineStr">
        <is>
          <t>WPME-FDSM_SIP-3</t>
        </is>
      </c>
      <c r="F6" s="2" t="inlineStr">
        <is>
          <t>Wuerth Electronik Voltage Regulator</t>
        </is>
      </c>
      <c r="G6" s="2" t="inlineStr">
        <is>
          <t>CONV_173010578</t>
        </is>
      </c>
      <c r="H6" s="2" t="inlineStr">
        <is>
          <t>173010578</t>
        </is>
      </c>
      <c r="I6" s="2" t="inlineStr">
        <is>
          <t>710-173010578</t>
        </is>
      </c>
      <c r="J6" s="2" t="inlineStr">
        <is>
          <t>Same Würth DC-DC regulator as base U1. Mouser # corrected from 710-173010579 to 710-173010578</t>
        </is>
      </c>
    </row>
    <row r="7">
      <c r="A7" s="2" t="n">
        <v>6</v>
      </c>
      <c r="B7" s="2" t="inlineStr">
        <is>
          <t>Logic</t>
        </is>
      </c>
      <c r="C7" s="2" t="n">
        <v>4</v>
      </c>
      <c r="D7" s="2" t="inlineStr">
        <is>
          <t>U2, U3, U4, U5</t>
        </is>
      </c>
      <c r="E7" s="2" t="inlineStr">
        <is>
          <t>SN74ACT00</t>
        </is>
      </c>
      <c r="F7" s="2" t="inlineStr">
        <is>
          <t>Texas Instruments Quad 2-Input NAND</t>
        </is>
      </c>
      <c r="G7" s="2" t="inlineStr">
        <is>
          <t>DIP-14_W7.62mm</t>
        </is>
      </c>
      <c r="H7" s="2" t="inlineStr">
        <is>
          <t>SN74ACT00N</t>
        </is>
      </c>
      <c r="I7" s="2" t="inlineStr">
        <is>
          <t>595-SN74ACT00N</t>
        </is>
      </c>
      <c r="J7" s="2" t="inlineStr"/>
    </row>
    <row r="8">
      <c r="A8" s="2" t="n">
        <v>7</v>
      </c>
      <c r="B8" s="2" t="inlineStr">
        <is>
          <t>Logic</t>
        </is>
      </c>
      <c r="C8" s="2" t="n">
        <v>1</v>
      </c>
      <c r="D8" s="2" t="inlineStr">
        <is>
          <t>U6</t>
        </is>
      </c>
      <c r="E8" s="2" t="inlineStr">
        <is>
          <t>74AHCT04</t>
        </is>
      </c>
      <c r="F8" s="2" t="inlineStr">
        <is>
          <t>Texas Instruments Hex Inverter</t>
        </is>
      </c>
      <c r="G8" s="2" t="inlineStr">
        <is>
          <t>DIP-14_W7.62mm</t>
        </is>
      </c>
      <c r="H8" s="2" t="inlineStr">
        <is>
          <t>SN74AHCT04N</t>
        </is>
      </c>
      <c r="I8" s="2" t="inlineStr">
        <is>
          <t>595-SN74AHCT04N</t>
        </is>
      </c>
      <c r="J8" s="2" t="inlineStr"/>
    </row>
    <row r="9">
      <c r="A9" s="2" t="n">
        <v>8</v>
      </c>
      <c r="B9" s="2" t="inlineStr">
        <is>
          <t>Logic</t>
        </is>
      </c>
      <c r="C9" s="2" t="n">
        <v>1</v>
      </c>
      <c r="D9" s="2" t="inlineStr">
        <is>
          <t>U7</t>
        </is>
      </c>
      <c r="E9" s="2" t="inlineStr">
        <is>
          <t>74LS08</t>
        </is>
      </c>
      <c r="F9" s="2" t="inlineStr">
        <is>
          <t>Texas Instruments 4-Gate AND</t>
        </is>
      </c>
      <c r="G9" s="2" t="inlineStr">
        <is>
          <t>DIP-14_W7.62mm</t>
        </is>
      </c>
      <c r="H9" s="2" t="inlineStr">
        <is>
          <t>SN74LS08N</t>
        </is>
      </c>
      <c r="I9" s="2" t="inlineStr">
        <is>
          <t>595-SN74LS08N</t>
        </is>
      </c>
      <c r="J9" s="2" t="inlineStr"/>
    </row>
    <row r="10">
      <c r="A10" s="2" t="n">
        <v>9</v>
      </c>
      <c r="B10" s="2" t="inlineStr">
        <is>
          <t>Logic</t>
        </is>
      </c>
      <c r="C10" s="2" t="n">
        <v>1</v>
      </c>
      <c r="D10" s="2" t="inlineStr">
        <is>
          <t>U8</t>
        </is>
      </c>
      <c r="E10" s="2" t="inlineStr">
        <is>
          <t>4075</t>
        </is>
      </c>
      <c r="F10" s="2" t="inlineStr">
        <is>
          <t>Texas Instruments Triple 3-input OR Gate</t>
        </is>
      </c>
      <c r="G10" s="2" t="inlineStr">
        <is>
          <t>DIP-14_W7.62mm</t>
        </is>
      </c>
      <c r="H10" s="2" t="inlineStr">
        <is>
          <t>CD4075BE</t>
        </is>
      </c>
      <c r="I10" s="2" t="inlineStr">
        <is>
          <t>595-CD4075BE</t>
        </is>
      </c>
      <c r="J1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4" customWidth="1" min="3" max="3"/>
    <col width="6" customWidth="1" min="4" max="4"/>
    <col width="22" customWidth="1" min="5" max="5"/>
    <col width="24" customWidth="1" min="6" max="6"/>
    <col width="60" customWidth="1" min="7" max="7"/>
  </cols>
  <sheetData>
    <row r="1">
      <c r="A1" s="1" t="inlineStr">
        <is>
          <t>Item #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Qty</t>
        </is>
      </c>
      <c r="E1" s="1" t="inlineStr">
        <is>
          <t>MFR Part #</t>
        </is>
      </c>
      <c r="F1" s="1" t="inlineStr">
        <is>
          <t>Mouser Part #</t>
        </is>
      </c>
      <c r="G1" s="1" t="inlineStr">
        <is>
          <t>Notes</t>
        </is>
      </c>
    </row>
    <row r="2">
      <c r="A2" t="n">
        <v>18</v>
      </c>
      <c r="B2" t="inlineStr">
        <is>
          <t>Jumpers</t>
        </is>
      </c>
      <c r="C2" t="inlineStr">
        <is>
          <t>Jumper</t>
        </is>
      </c>
      <c r="D2" t="n">
        <v>6</v>
      </c>
      <c r="E2" t="inlineStr">
        <is>
          <t>JM-2BK-61</t>
        </is>
      </c>
      <c r="F2" t="inlineStr">
        <is>
          <t>306-JM-2BK-61</t>
        </is>
      </c>
      <c r="G2" t="inlineStr">
        <is>
          <t>Shunts for the jumper headers</t>
        </is>
      </c>
    </row>
    <row r="3">
      <c r="A3" t="n">
        <v>30</v>
      </c>
      <c r="B3" t="inlineStr">
        <is>
          <t>Fiber RX/TX Eval boards.</t>
        </is>
      </c>
      <c r="C3" t="inlineStr">
        <is>
          <t>Connector</t>
        </is>
      </c>
      <c r="D3" t="n">
        <v>1</v>
      </c>
      <c r="E3" t="inlineStr">
        <is>
          <t>AFBR-0548Z</t>
        </is>
      </c>
      <c r="F3" t="inlineStr">
        <is>
          <t>630-AFBR-0548Z</t>
        </is>
      </c>
      <c r="G3" t="inlineStr">
        <is>
          <t>Plugs into base J7 and J10. Modified: bent interface pins removed and replaced with straight pins facing vertically down (long side opposite the fiber ports). Replacement pins: generic 3-position 2.54 mm pitch header (no part number), cut from a longer strip on hand</t>
        </is>
      </c>
    </row>
    <row r="4">
      <c r="A4" t="n">
        <v>31</v>
      </c>
      <c r="B4" t="inlineStr">
        <is>
          <t>Base Board PCB empty board</t>
        </is>
      </c>
      <c r="C4" t="inlineStr">
        <is>
          <t>PCB</t>
        </is>
      </c>
      <c r="D4" t="n">
        <v>1</v>
      </c>
      <c r="E4" t="inlineStr">
        <is>
          <t>NA</t>
        </is>
      </c>
      <c r="F4" t="inlineStr">
        <is>
          <t>NA</t>
        </is>
      </c>
      <c r="G4" t="inlineStr"/>
    </row>
    <row r="5">
      <c r="A5" t="n">
        <v>41</v>
      </c>
      <c r="B5" t="inlineStr">
        <is>
          <t>Logic Board PCB empty board</t>
        </is>
      </c>
      <c r="C5" t="inlineStr">
        <is>
          <t>PCB</t>
        </is>
      </c>
      <c r="D5" t="n">
        <v>1</v>
      </c>
      <c r="E5" t="inlineStr">
        <is>
          <t>NA</t>
        </is>
      </c>
      <c r="F5" t="inlineStr">
        <is>
          <t>NA</t>
        </is>
      </c>
      <c r="G5" t="inlineStr"/>
    </row>
    <row r="6">
      <c r="A6" t="n">
        <v>42</v>
      </c>
      <c r="B6" t="inlineStr">
        <is>
          <t>Mounting Base Base Housing(Phoenix Contact)</t>
        </is>
      </c>
      <c r="C6" t="inlineStr">
        <is>
          <t>Housing</t>
        </is>
      </c>
      <c r="D6" t="n">
        <v>1</v>
      </c>
      <c r="E6" t="inlineStr">
        <is>
          <t>2278500</t>
        </is>
      </c>
      <c r="F6" t="inlineStr">
        <is>
          <t>651-2278500</t>
        </is>
      </c>
      <c r="G6" t="inlineStr"/>
    </row>
    <row r="7">
      <c r="A7" t="n">
        <v>43</v>
      </c>
      <c r="B7" t="inlineStr">
        <is>
          <t>Upper Housing Part(Phoeix Contact)</t>
        </is>
      </c>
      <c r="C7" t="inlineStr">
        <is>
          <t>Housing</t>
        </is>
      </c>
      <c r="D7" t="n">
        <v>1</v>
      </c>
      <c r="E7" t="inlineStr">
        <is>
          <t>2278526</t>
        </is>
      </c>
      <c r="F7" t="inlineStr">
        <is>
          <t>651-2278526</t>
        </is>
      </c>
      <c r="G7" t="inlineStr"/>
    </row>
    <row r="8">
      <c r="A8" t="n">
        <v>44</v>
      </c>
      <c r="B8" t="inlineStr">
        <is>
          <t>Housing Cover(Phoeix Contact)</t>
        </is>
      </c>
      <c r="C8" t="inlineStr">
        <is>
          <t>Housing</t>
        </is>
      </c>
      <c r="D8" t="n">
        <v>1</v>
      </c>
      <c r="E8" t="inlineStr">
        <is>
          <t>2278542</t>
        </is>
      </c>
      <c r="F8" t="inlineStr">
        <is>
          <t>651-2278542</t>
        </is>
      </c>
      <c r="G8" t="inlineStr"/>
    </row>
    <row r="9">
      <c r="A9" t="n">
        <v>45</v>
      </c>
      <c r="B9" t="inlineStr">
        <is>
          <t>Housing Filler Plug(Phoeix Contact)</t>
        </is>
      </c>
      <c r="C9" t="inlineStr">
        <is>
          <t>Housing</t>
        </is>
      </c>
      <c r="D9" t="n">
        <v>2</v>
      </c>
      <c r="E9" t="inlineStr">
        <is>
          <t>2896238</t>
        </is>
      </c>
      <c r="F9" t="inlineStr">
        <is>
          <t>651-2896238</t>
        </is>
      </c>
      <c r="G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  <col width="12" customWidth="1" min="3" max="3"/>
    <col width="12" customWidth="1" min="4" max="4"/>
  </cols>
  <sheetData>
    <row r="1">
      <c r="A1" s="1" t="inlineStr">
        <is>
          <t>Tested IO or Device</t>
        </is>
      </c>
      <c r="B1" s="1" t="inlineStr">
        <is>
          <t>Test Description</t>
        </is>
      </c>
      <c r="C1" s="1" t="inlineStr">
        <is>
          <t>Assembly 1</t>
        </is>
      </c>
      <c r="D1" s="1" t="inlineStr">
        <is>
          <t>Assembly 2</t>
        </is>
      </c>
    </row>
    <row r="2">
      <c r="A2" t="inlineStr">
        <is>
          <t>50-ohm termination jumpers</t>
        </is>
      </c>
      <c r="B2" t="inlineStr">
        <is>
          <t>50 ohms across BNC connectors when jumper present. BNC open if jumper removed.</t>
        </is>
      </c>
      <c r="C2" t="inlineStr">
        <is>
          <t>Pass</t>
        </is>
      </c>
      <c r="D2" t="inlineStr">
        <is>
          <t>Pass</t>
        </is>
      </c>
    </row>
    <row r="3">
      <c r="A3" t="inlineStr">
        <is>
          <t>Local-Remote switch</t>
        </is>
      </c>
      <c r="B3" t="inlineStr">
        <is>
          <t>Local and Remote status outputs toggle properly with switch input.</t>
        </is>
      </c>
      <c r="C3" t="inlineStr">
        <is>
          <t>Pass</t>
        </is>
      </c>
      <c r="D3" t="inlineStr">
        <is>
          <t>Pass</t>
        </is>
      </c>
    </row>
    <row r="4">
      <c r="A4" t="inlineStr">
        <is>
          <t>Normal-OS switch</t>
        </is>
      </c>
      <c r="B4" t="inlineStr">
        <is>
          <t>Normal and OS feedbacks are triggered appropiately.</t>
        </is>
      </c>
      <c r="C4" t="inlineStr">
        <is>
          <t>Pass</t>
        </is>
      </c>
      <c r="D4" t="inlineStr">
        <is>
          <t>Pass</t>
        </is>
      </c>
    </row>
    <row r="5">
      <c r="A5" t="inlineStr">
        <is>
          <t>Power status feedback</t>
        </is>
      </c>
      <c r="B5" t="inlineStr">
        <is>
          <t>HIGH(24V) when PWR and EXT PWR are present</t>
        </is>
      </c>
      <c r="C5" t="inlineStr">
        <is>
          <t>Pass</t>
        </is>
      </c>
      <c r="D5" t="inlineStr">
        <is>
          <t>Pass</t>
        </is>
      </c>
    </row>
    <row r="6">
      <c r="A6" t="inlineStr">
        <is>
          <t>Inhibbit Summation Status (inh2 jumper)</t>
        </is>
      </c>
      <c r="B6" t="inlineStr">
        <is>
          <t>Triggered on inh2 jumper</t>
        </is>
      </c>
      <c r="C6" t="inlineStr">
        <is>
          <t>Pass</t>
        </is>
      </c>
      <c r="D6" t="inlineStr">
        <is>
          <t>Pass</t>
        </is>
      </c>
    </row>
    <row r="7">
      <c r="A7" t="inlineStr">
        <is>
          <t>Inhibbit Summation Status (inh3 jumper)</t>
        </is>
      </c>
      <c r="B7" t="inlineStr">
        <is>
          <t>Triggered on inh3 jumper</t>
        </is>
      </c>
      <c r="C7" t="inlineStr">
        <is>
          <t>Pass</t>
        </is>
      </c>
      <c r="D7" t="inlineStr">
        <is>
          <t>Pass</t>
        </is>
      </c>
    </row>
    <row r="8">
      <c r="A8" t="inlineStr">
        <is>
          <t>Inhibit 1 feedback</t>
        </is>
      </c>
      <c r="B8" t="inlineStr">
        <is>
          <t>triggers HIGH if inhibit 1 input LO and viceversa</t>
        </is>
      </c>
      <c r="C8" t="inlineStr">
        <is>
          <t>Pass</t>
        </is>
      </c>
      <c r="D8" t="inlineStr">
        <is>
          <t>Pass</t>
        </is>
      </c>
    </row>
    <row r="9">
      <c r="A9" t="inlineStr">
        <is>
          <t>input selection jumper</t>
        </is>
      </c>
      <c r="B9" t="inlineStr">
        <is>
          <t>Propely labeled and selects the appropiate input</t>
        </is>
      </c>
      <c r="C9" t="inlineStr">
        <is>
          <t>Pass</t>
        </is>
      </c>
      <c r="D9" t="inlineStr">
        <is>
          <t>Pass</t>
        </is>
      </c>
    </row>
    <row r="10">
      <c r="A10" t="inlineStr">
        <is>
          <t>output selection jumper</t>
        </is>
      </c>
      <c r="B10" t="inlineStr">
        <is>
          <t>Propely labeled and selects the appropiate output</t>
        </is>
      </c>
      <c r="C10" t="inlineStr">
        <is>
          <t>Pass</t>
        </is>
      </c>
      <c r="D10" t="inlineStr">
        <is>
          <t>Pass</t>
        </is>
      </c>
    </row>
    <row r="11">
      <c r="A11" t="inlineStr">
        <is>
          <t>Inhibit 2 jumper</t>
        </is>
      </c>
      <c r="B11" t="inlineStr">
        <is>
          <t>Stops Pulses and relfects properly on INH summation</t>
        </is>
      </c>
      <c r="C11" t="inlineStr">
        <is>
          <t>Pass</t>
        </is>
      </c>
      <c r="D11" t="inlineStr">
        <is>
          <t>Pass</t>
        </is>
      </c>
    </row>
    <row r="12">
      <c r="A12" t="inlineStr">
        <is>
          <t>Inhibit 3 jumper</t>
        </is>
      </c>
      <c r="B12" t="inlineStr">
        <is>
          <t>Stops Pulses and relfects properly on INH summation</t>
        </is>
      </c>
      <c r="C12" t="inlineStr">
        <is>
          <t>Pass</t>
        </is>
      </c>
      <c r="D12" t="inlineStr">
        <is>
          <t>Pass</t>
        </is>
      </c>
    </row>
    <row r="13">
      <c r="A13" t="inlineStr">
        <is>
          <t>Trigger_sts_fb</t>
        </is>
      </c>
      <c r="B13" t="inlineStr">
        <is>
          <t>tested on BNC triggering</t>
        </is>
      </c>
      <c r="C13" t="inlineStr">
        <is>
          <t>Pass</t>
        </is>
      </c>
      <c r="D13" t="inlineStr">
        <is>
          <t>Pass</t>
        </is>
      </c>
    </row>
    <row r="14">
      <c r="A14" t="inlineStr">
        <is>
          <t>OS button</t>
        </is>
      </c>
      <c r="B14" t="inlineStr">
        <is>
          <t>allows one pulse when proper switch setup and button pressede</t>
        </is>
      </c>
      <c r="C14" t="inlineStr">
        <is>
          <t>Pass</t>
        </is>
      </c>
      <c r="D14" t="inlineStr">
        <is>
          <t>Pass</t>
        </is>
      </c>
    </row>
    <row r="15">
      <c r="A15" t="inlineStr">
        <is>
          <t>inhibit 2 in/out</t>
        </is>
      </c>
      <c r="B15" t="inlineStr">
        <is>
          <t>inhibit 2 input signal propelry closes the selected voltage on INH2 feedback.</t>
        </is>
      </c>
      <c r="C15" t="inlineStr">
        <is>
          <t>Pass</t>
        </is>
      </c>
      <c r="D15" t="inlineStr">
        <is>
          <t>Pass</t>
        </is>
      </c>
    </row>
    <row r="16">
      <c r="A16" t="inlineStr">
        <is>
          <t>inhibit 3 in/out</t>
        </is>
      </c>
      <c r="B16" t="inlineStr">
        <is>
          <t>inhibit 3 input signal propelry closes the selected voltage on INH3 feedback.</t>
        </is>
      </c>
      <c r="C16" t="inlineStr">
        <is>
          <t>Pass</t>
        </is>
      </c>
      <c r="D16" t="inlineStr">
        <is>
          <t>Pass</t>
        </is>
      </c>
    </row>
    <row r="17">
      <c r="A17" t="inlineStr">
        <is>
          <t>Remote OS signal input</t>
        </is>
      </c>
      <c r="B17" t="inlineStr">
        <is>
          <t>When swtiches are appropiate, remote OS is selected and Remote OS Signal is received a single pulse is observed at the output</t>
        </is>
      </c>
      <c r="C17" t="inlineStr">
        <is>
          <t>Pass</t>
        </is>
      </c>
      <c r="D17" t="inlineStr">
        <is>
          <t>Pass</t>
        </is>
      </c>
    </row>
    <row r="18">
      <c r="A18" t="inlineStr">
        <is>
          <t>BNC input</t>
        </is>
      </c>
      <c r="B18" t="inlineStr">
        <is>
          <t>Input works properly</t>
        </is>
      </c>
      <c r="C18" t="inlineStr">
        <is>
          <t>Pass</t>
        </is>
      </c>
      <c r="D18" t="inlineStr">
        <is>
          <t>Pass</t>
        </is>
      </c>
    </row>
    <row r="19">
      <c r="A19" t="inlineStr">
        <is>
          <t>BNC output</t>
        </is>
      </c>
      <c r="B19" t="inlineStr">
        <is>
          <t>Output works properly</t>
        </is>
      </c>
      <c r="C19" t="inlineStr">
        <is>
          <t>Pass</t>
        </is>
      </c>
      <c r="D19" t="inlineStr">
        <is>
          <t>Pass</t>
        </is>
      </c>
    </row>
    <row r="20">
      <c r="A20" t="inlineStr">
        <is>
          <t>Fiber input</t>
        </is>
      </c>
      <c r="B20" t="inlineStr">
        <is>
          <t>Input works properly</t>
        </is>
      </c>
      <c r="C20" t="inlineStr">
        <is>
          <t>Pass</t>
        </is>
      </c>
      <c r="D20" t="inlineStr">
        <is>
          <t>Pass</t>
        </is>
      </c>
    </row>
    <row r="21">
      <c r="A21" t="inlineStr">
        <is>
          <t>fiber output</t>
        </is>
      </c>
      <c r="B21" t="inlineStr">
        <is>
          <t>Output works properly</t>
        </is>
      </c>
      <c r="C21" t="inlineStr">
        <is>
          <t>Pass</t>
        </is>
      </c>
      <c r="D21" t="inlineStr">
        <is>
          <t>Pass</t>
        </is>
      </c>
    </row>
    <row r="22">
      <c r="A22" t="inlineStr">
        <is>
          <t>INH1 stops pulses</t>
        </is>
      </c>
      <c r="B22" t="inlineStr">
        <is>
          <t>When pulsing, INH1 LOW stops the pulses.</t>
        </is>
      </c>
      <c r="C22" t="inlineStr">
        <is>
          <t>Pass</t>
        </is>
      </c>
      <c r="D22" t="inlineStr">
        <is>
          <t>Pass</t>
        </is>
      </c>
    </row>
    <row r="23">
      <c r="A23" t="inlineStr">
        <is>
          <t>INH2 stops pulses</t>
        </is>
      </c>
      <c r="B23" t="inlineStr">
        <is>
          <t>When Pulsing INH2 LOW stops the pulses.</t>
        </is>
      </c>
      <c r="C23" t="inlineStr">
        <is>
          <t>Pass</t>
        </is>
      </c>
      <c r="D23" t="inlineStr">
        <is>
          <t>Pass</t>
        </is>
      </c>
    </row>
    <row r="24">
      <c r="A24" t="inlineStr">
        <is>
          <t>INH3 stops pulses</t>
        </is>
      </c>
      <c r="B24" t="inlineStr">
        <is>
          <t>When Pulsing INH3 LOW stops the pulses.</t>
        </is>
      </c>
      <c r="C24" t="inlineStr">
        <is>
          <t>Pass</t>
        </is>
      </c>
      <c r="D24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Source: KiCad schematics baseboard.kicad_sch and logicboard.kicad_sch in Trigger_Board_Working (generated 2026-10-06).</t>
        </is>
      </c>
    </row>
    <row r="2">
      <c r="A2" t="inlineStr">
        <is>
          <t>Refs prefixed B: = Base board, L: = Logic board.</t>
        </is>
      </c>
    </row>
    <row r="3">
      <c r="A3" t="inlineStr">
        <is>
          <t>MFR/Mouser part numbers come from Documentation/Final_Trigger_Board_BOM.xlsx (FINAL BOM sheet), matched by reference designator. Rows marked DISCREPANCY or CHECK disagree with the schematic or with the part number.</t>
        </is>
      </c>
    </row>
    <row r="4">
      <c r="A4" t="inlineStr">
        <is>
          <t>Not included: bare PCBs, jumper shunts for JP1-JP6, IC sockets, standoffs, screws, cables. None are in the schematic - add if used in production.</t>
        </is>
      </c>
    </row>
    <row r="5">
      <c r="A5" t="inlineStr">
        <is>
          <t>Footprint REF** (boards:base_board_NH) on the base board is a non-electrical board footprint, not a part.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2026-10-07T18:41:20Z</dcterms:created>
  <dcterms:modified xmlns:dcterms="http://purl.org/dc/terms/" xmlns:xsi="http://www.w3.org/2001/XMLSchema-instance" xsi:type="dcterms:W3CDTF">2026-10-07T18:41:20Z</dcterms:modified>
</cp:coreProperties>
</file>